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io\Desktop\"/>
    </mc:Choice>
  </mc:AlternateContent>
  <xr:revisionPtr revIDLastSave="0" documentId="13_ncr:1_{7D2FF6BC-C38A-4BB2-B041-78AC8ECA19B6}" xr6:coauthVersionLast="47" xr6:coauthVersionMax="47" xr10:uidLastSave="{00000000-0000-0000-0000-000000000000}"/>
  <bookViews>
    <workbookView xWindow="5700" yWindow="3285" windowWidth="28800" windowHeight="15435" xr2:uid="{E4341665-C3FA-EB43-9847-F33C19845CA9}"/>
  </bookViews>
  <sheets>
    <sheet name="Control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39" i="1" l="1"/>
  <c r="BZ39" i="1"/>
  <c r="BY39" i="1"/>
  <c r="BX39" i="1"/>
  <c r="BW39" i="1"/>
  <c r="CA38" i="1"/>
  <c r="BZ38" i="1"/>
  <c r="BY38" i="1"/>
  <c r="BX38" i="1"/>
  <c r="BW38" i="1"/>
  <c r="CA37" i="1"/>
  <c r="BZ37" i="1"/>
  <c r="BY37" i="1"/>
  <c r="BX37" i="1"/>
  <c r="BW37" i="1"/>
  <c r="BM39" i="1"/>
  <c r="BL39" i="1"/>
  <c r="BK39" i="1"/>
  <c r="BJ39" i="1"/>
  <c r="BI39" i="1"/>
  <c r="BG39" i="1"/>
  <c r="BF39" i="1"/>
  <c r="BE39" i="1"/>
  <c r="BD39" i="1"/>
  <c r="BA39" i="1"/>
  <c r="AZ39" i="1"/>
  <c r="AY39" i="1"/>
  <c r="AX39" i="1"/>
  <c r="AU39" i="1"/>
  <c r="AT39" i="1"/>
  <c r="AS39" i="1"/>
  <c r="AR39" i="1"/>
  <c r="AO39" i="1"/>
  <c r="AN39" i="1"/>
  <c r="AM39" i="1"/>
  <c r="AL39" i="1"/>
  <c r="AK39" i="1"/>
  <c r="AI39" i="1"/>
  <c r="AH39" i="1"/>
  <c r="AG39" i="1"/>
  <c r="AF39" i="1"/>
  <c r="AC39" i="1"/>
  <c r="AB39" i="1"/>
  <c r="AA39" i="1"/>
  <c r="Z39" i="1"/>
  <c r="T39" i="1"/>
  <c r="S39" i="1"/>
  <c r="R39" i="1"/>
  <c r="Q39" i="1"/>
  <c r="N39" i="1"/>
  <c r="M39" i="1"/>
  <c r="L39" i="1"/>
  <c r="K39" i="1"/>
  <c r="J39" i="1"/>
  <c r="H39" i="1"/>
  <c r="G39" i="1"/>
  <c r="F39" i="1"/>
  <c r="E39" i="1"/>
  <c r="BM38" i="1"/>
  <c r="BL38" i="1"/>
  <c r="BK38" i="1"/>
  <c r="BJ38" i="1"/>
  <c r="BI38" i="1"/>
  <c r="BG38" i="1"/>
  <c r="BF38" i="1"/>
  <c r="BE38" i="1"/>
  <c r="BD38" i="1"/>
  <c r="BA38" i="1"/>
  <c r="AZ38" i="1"/>
  <c r="AY38" i="1"/>
  <c r="AX38" i="1"/>
  <c r="AU38" i="1"/>
  <c r="AT38" i="1"/>
  <c r="AS38" i="1"/>
  <c r="AR38" i="1"/>
  <c r="AO38" i="1"/>
  <c r="AN38" i="1"/>
  <c r="AM38" i="1"/>
  <c r="AL38" i="1"/>
  <c r="AI38" i="1"/>
  <c r="AH38" i="1"/>
  <c r="AG38" i="1"/>
  <c r="AF38" i="1"/>
  <c r="AC38" i="1"/>
  <c r="AB38" i="1"/>
  <c r="AA38" i="1"/>
  <c r="Z38" i="1"/>
  <c r="Y38" i="1"/>
  <c r="T38" i="1"/>
  <c r="S38" i="1"/>
  <c r="R38" i="1"/>
  <c r="Q38" i="1"/>
  <c r="P38" i="1"/>
  <c r="N38" i="1"/>
  <c r="M38" i="1"/>
  <c r="L38" i="1"/>
  <c r="K38" i="1"/>
  <c r="H38" i="1"/>
  <c r="G38" i="1"/>
  <c r="F38" i="1"/>
  <c r="E38" i="1"/>
  <c r="BM37" i="1"/>
  <c r="BL37" i="1"/>
  <c r="BK37" i="1"/>
  <c r="BJ37" i="1"/>
  <c r="BI37" i="1"/>
  <c r="BG37" i="1"/>
  <c r="BF37" i="1"/>
  <c r="BE37" i="1"/>
  <c r="BD37" i="1"/>
  <c r="BC37" i="1"/>
  <c r="BA37" i="1"/>
  <c r="AZ37" i="1"/>
  <c r="AY37" i="1"/>
  <c r="AX37" i="1"/>
  <c r="AU37" i="1"/>
  <c r="AT37" i="1"/>
  <c r="AS37" i="1"/>
  <c r="AR37" i="1"/>
  <c r="AO37" i="1"/>
  <c r="AN37" i="1"/>
  <c r="AM37" i="1"/>
  <c r="AL37" i="1"/>
  <c r="AK37" i="1"/>
  <c r="AI37" i="1"/>
  <c r="AH37" i="1"/>
  <c r="AG37" i="1"/>
  <c r="AF37" i="1"/>
  <c r="AE37" i="1"/>
  <c r="AC37" i="1"/>
  <c r="AB37" i="1"/>
  <c r="AA37" i="1"/>
  <c r="Z37" i="1"/>
  <c r="T37" i="1"/>
  <c r="S37" i="1"/>
  <c r="R37" i="1"/>
  <c r="Q37" i="1"/>
  <c r="N37" i="1"/>
  <c r="M37" i="1"/>
  <c r="L37" i="1"/>
  <c r="K37" i="1"/>
  <c r="J37" i="1"/>
  <c r="H37" i="1"/>
  <c r="G37" i="1"/>
  <c r="F37" i="1"/>
  <c r="E37" i="1"/>
  <c r="W33" i="1"/>
  <c r="V33" i="1"/>
  <c r="W32" i="1"/>
  <c r="V32" i="1"/>
  <c r="W31" i="1"/>
  <c r="V31" i="1"/>
  <c r="W30" i="1"/>
  <c r="V30" i="1"/>
  <c r="W29" i="1"/>
  <c r="V29" i="1"/>
  <c r="BC39" i="1"/>
  <c r="AW39" i="1"/>
  <c r="AQ38" i="1"/>
  <c r="AK38" i="1"/>
  <c r="AE39" i="1"/>
  <c r="Y39" i="1"/>
  <c r="V28" i="1"/>
  <c r="P39" i="1"/>
  <c r="J38" i="1"/>
  <c r="D39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AW38" i="1" l="1"/>
  <c r="W28" i="1"/>
  <c r="P37" i="1"/>
  <c r="AQ37" i="1"/>
  <c r="D38" i="1"/>
  <c r="AE38" i="1"/>
  <c r="BC38" i="1"/>
  <c r="AQ39" i="1"/>
  <c r="Y37" i="1"/>
  <c r="AW37" i="1"/>
  <c r="D37" i="1"/>
</calcChain>
</file>

<file path=xl/sharedStrings.xml><?xml version="1.0" encoding="utf-8"?>
<sst xmlns="http://schemas.openxmlformats.org/spreadsheetml/2006/main" count="84" uniqueCount="27">
  <si>
    <t>Strain</t>
  </si>
  <si>
    <t>Age Group (months)</t>
  </si>
  <si>
    <t>n value</t>
  </si>
  <si>
    <t>Day 2+3 Distance</t>
  </si>
  <si>
    <t>Ride Time</t>
  </si>
  <si>
    <t>Average Speed</t>
  </si>
  <si>
    <t>Max Speed</t>
  </si>
  <si>
    <t>Calories</t>
  </si>
  <si>
    <t>WT MALES</t>
  </si>
  <si>
    <t>WT FEMALES</t>
  </si>
  <si>
    <t>T-tests</t>
  </si>
  <si>
    <t xml:space="preserve">Trip Distance Day  </t>
  </si>
  <si>
    <t>DAY 1</t>
  </si>
  <si>
    <t>Day 2&amp;3 Average</t>
  </si>
  <si>
    <t>Day 1-3 Average</t>
  </si>
  <si>
    <r>
      <t xml:space="preserve">BODY WEIGHTS </t>
    </r>
    <r>
      <rPr>
        <sz val="18"/>
        <color theme="1"/>
        <rFont val="Arial"/>
        <family val="2"/>
      </rPr>
      <t>(g)</t>
    </r>
  </si>
  <si>
    <t>ID</t>
  </si>
  <si>
    <t>Sex</t>
  </si>
  <si>
    <t>DAY 10</t>
  </si>
  <si>
    <t>Number</t>
  </si>
  <si>
    <t>Average</t>
  </si>
  <si>
    <t>St Dev</t>
  </si>
  <si>
    <t>St E of Mean</t>
  </si>
  <si>
    <t>Male</t>
  </si>
  <si>
    <t>PJ 01</t>
  </si>
  <si>
    <t>PJ 02</t>
  </si>
  <si>
    <t>PJ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</si>
</sst>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2"/>
      <color theme="1"/>
      <name val="Calibri"/>
      <family val="2"/>
      <scheme val="minor"/>
    </font>
    <font>
      <b/>
      <sz val="18"/>
      <color rgb="FF92000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18"/>
      <color theme="4" tint="-0.249977111117893"/>
      <name val="Arial"/>
      <family val="2"/>
    </font>
    <font>
      <b/>
      <sz val="18"/>
      <color rgb="FF0070C0"/>
      <name val="Arial"/>
      <family val="2"/>
    </font>
    <font>
      <sz val="18"/>
      <color rgb="FF000000"/>
      <name val="Arial"/>
      <family val="2"/>
    </font>
    <font>
      <sz val="20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theme="5" tint="-0.249977111117893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88A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53CB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4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4" fillId="4" borderId="8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/>
    </xf>
    <xf numFmtId="2" fontId="4" fillId="4" borderId="10" xfId="0" applyNumberFormat="1" applyFont="1" applyFill="1" applyBorder="1" applyAlignment="1">
      <alignment horizontal="center"/>
    </xf>
    <xf numFmtId="1" fontId="4" fillId="4" borderId="10" xfId="0" applyNumberFormat="1" applyFont="1" applyFill="1" applyBorder="1" applyAlignment="1">
      <alignment horizontal="center"/>
    </xf>
    <xf numFmtId="2" fontId="4" fillId="4" borderId="11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0" fillId="6" borderId="2" xfId="0" applyFill="1" applyBorder="1"/>
    <xf numFmtId="0" fontId="1" fillId="6" borderId="2" xfId="0" applyFont="1" applyFill="1" applyBorder="1" applyAlignment="1">
      <alignment horizontal="center"/>
    </xf>
    <xf numFmtId="1" fontId="1" fillId="6" borderId="2" xfId="0" applyNumberFormat="1" applyFont="1" applyFill="1" applyBorder="1" applyAlignment="1">
      <alignment horizontal="center"/>
    </xf>
    <xf numFmtId="1" fontId="1" fillId="6" borderId="3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right"/>
    </xf>
    <xf numFmtId="0" fontId="5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0" fillId="6" borderId="0" xfId="0" applyFill="1"/>
    <xf numFmtId="0" fontId="0" fillId="6" borderId="8" xfId="0" applyFill="1" applyBorder="1"/>
    <xf numFmtId="0" fontId="5" fillId="6" borderId="0" xfId="0" applyFont="1" applyFill="1" applyAlignment="1">
      <alignment horizont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1" fontId="5" fillId="0" borderId="0" xfId="0" applyNumberFormat="1" applyFont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0" fontId="10" fillId="0" borderId="0" xfId="0" applyFont="1"/>
    <xf numFmtId="165" fontId="5" fillId="0" borderId="7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3" fillId="0" borderId="7" xfId="0" applyFont="1" applyBorder="1"/>
    <xf numFmtId="1" fontId="5" fillId="0" borderId="0" xfId="0" applyNumberFormat="1" applyFont="1" applyAlignment="1">
      <alignment horizontal="center"/>
    </xf>
    <xf numFmtId="1" fontId="5" fillId="0" borderId="7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" fontId="1" fillId="5" borderId="2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1" fontId="1" fillId="5" borderId="10" xfId="0" applyNumberFormat="1" applyFont="1" applyFill="1" applyBorder="1" applyAlignment="1">
      <alignment horizontal="center"/>
    </xf>
    <xf numFmtId="1" fontId="1" fillId="5" borderId="11" xfId="0" applyNumberFormat="1" applyFont="1" applyFill="1" applyBorder="1" applyAlignment="1">
      <alignment horizontal="center"/>
    </xf>
    <xf numFmtId="0" fontId="0" fillId="0" borderId="7" xfId="0" applyBorder="1"/>
    <xf numFmtId="2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6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20" fontId="5" fillId="0" borderId="0" xfId="0" applyNumberFormat="1" applyFont="1" applyAlignment="1">
      <alignment horizontal="center"/>
    </xf>
    <xf numFmtId="16" fontId="3" fillId="2" borderId="10" xfId="0" applyNumberFormat="1" applyFont="1" applyFill="1" applyBorder="1" applyAlignment="1">
      <alignment vertical="center"/>
    </xf>
    <xf numFmtId="0" fontId="5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A4FD-511F-834F-ADD6-E85EE63DAC95}">
  <dimension ref="A1:DC223"/>
  <sheetViews>
    <sheetView tabSelected="1" topLeftCell="A3" zoomScale="65" workbookViewId="0">
      <selection activeCell="AQ15" sqref="AQ15:AU17"/>
    </sheetView>
  </sheetViews>
  <sheetFormatPr defaultColWidth="11" defaultRowHeight="15.75" x14ac:dyDescent="0.25"/>
  <cols>
    <col min="1" max="1" width="76.5" customWidth="1"/>
    <col min="2" max="2" width="36.625" customWidth="1"/>
    <col min="3" max="3" width="31.125" customWidth="1"/>
    <col min="4" max="4" width="36.5" customWidth="1"/>
    <col min="5" max="5" width="37.875" customWidth="1"/>
    <col min="6" max="6" width="26.5" customWidth="1"/>
    <col min="7" max="7" width="35" customWidth="1"/>
    <col min="8" max="8" width="29.375" customWidth="1"/>
    <col min="10" max="10" width="33.875" customWidth="1"/>
    <col min="11" max="11" width="32.125" customWidth="1"/>
    <col min="12" max="12" width="28" customWidth="1"/>
    <col min="13" max="13" width="31.125" customWidth="1"/>
    <col min="14" max="14" width="34.125" customWidth="1"/>
    <col min="15" max="15" width="14.125" customWidth="1"/>
    <col min="16" max="16" width="29.875" customWidth="1"/>
    <col min="17" max="17" width="30" customWidth="1"/>
    <col min="18" max="18" width="34.5" customWidth="1"/>
    <col min="19" max="19" width="31.875" customWidth="1"/>
    <col min="20" max="20" width="31.375" customWidth="1"/>
    <col min="22" max="22" width="38" customWidth="1"/>
    <col min="23" max="23" width="27.5" customWidth="1"/>
    <col min="24" max="24" width="33.625" customWidth="1"/>
    <col min="25" max="25" width="29.5" customWidth="1"/>
    <col min="26" max="26" width="36" customWidth="1"/>
    <col min="27" max="29" width="27.5" customWidth="1"/>
    <col min="30" max="30" width="26.5" customWidth="1"/>
    <col min="31" max="31" width="27.125" customWidth="1"/>
    <col min="32" max="32" width="26.375" customWidth="1"/>
    <col min="33" max="33" width="24.5" customWidth="1"/>
    <col min="34" max="34" width="22.5" customWidth="1"/>
    <col min="35" max="35" width="21.125" customWidth="1"/>
    <col min="37" max="37" width="37.875" customWidth="1"/>
    <col min="38" max="38" width="39.125" customWidth="1"/>
    <col min="39" max="39" width="26.5" customWidth="1"/>
    <col min="40" max="40" width="23.5" customWidth="1"/>
    <col min="43" max="43" width="43.125" customWidth="1"/>
    <col min="44" max="44" width="24.5" customWidth="1"/>
    <col min="45" max="45" width="38.5" customWidth="1"/>
    <col min="46" max="46" width="22.5" customWidth="1"/>
    <col min="49" max="49" width="43.5" customWidth="1"/>
    <col min="50" max="50" width="35.5" customWidth="1"/>
    <col min="51" max="51" width="31.5" customWidth="1"/>
    <col min="52" max="52" width="34.875" customWidth="1"/>
    <col min="53" max="53" width="26.125" customWidth="1"/>
    <col min="55" max="55" width="38.875" customWidth="1"/>
    <col min="56" max="56" width="39.375" customWidth="1"/>
    <col min="57" max="57" width="29.125" customWidth="1"/>
    <col min="58" max="58" width="23.375" customWidth="1"/>
    <col min="59" max="59" width="30.625" customWidth="1"/>
    <col min="61" max="61" width="37.375" customWidth="1"/>
    <col min="62" max="62" width="27" customWidth="1"/>
    <col min="63" max="63" width="38.125" customWidth="1"/>
    <col min="64" max="64" width="27" customWidth="1"/>
    <col min="65" max="65" width="24.375" customWidth="1"/>
    <col min="67" max="67" width="29.5" customWidth="1"/>
    <col min="68" max="68" width="26.125" customWidth="1"/>
    <col min="74" max="74" width="14.5" customWidth="1"/>
    <col min="76" max="76" width="12.125" bestFit="1" customWidth="1"/>
    <col min="84" max="84" width="12.125" bestFit="1" customWidth="1"/>
    <col min="89" max="89" width="12.125" bestFit="1" customWidth="1"/>
    <col min="94" max="94" width="12.125" bestFit="1" customWidth="1"/>
    <col min="99" max="99" width="25.5" bestFit="1" customWidth="1"/>
    <col min="104" max="104" width="14" bestFit="1" customWidth="1"/>
  </cols>
  <sheetData>
    <row r="1" spans="1:107" ht="2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L1" s="6"/>
      <c r="M1" s="6"/>
      <c r="N1" s="6"/>
      <c r="O1" s="7"/>
      <c r="P1" s="7"/>
      <c r="Q1" s="8"/>
    </row>
    <row r="2" spans="1:107" ht="23.25" x14ac:dyDescent="0.35">
      <c r="A2" s="9" t="s">
        <v>8</v>
      </c>
      <c r="B2" s="10"/>
      <c r="C2" s="11">
        <v>6</v>
      </c>
      <c r="D2" s="12"/>
      <c r="E2" s="12"/>
      <c r="F2" s="12"/>
      <c r="G2" s="12"/>
      <c r="H2" s="13"/>
      <c r="K2" s="14"/>
      <c r="L2" s="14"/>
      <c r="M2" s="14"/>
      <c r="N2" s="14"/>
      <c r="O2" s="14"/>
      <c r="P2" s="14"/>
      <c r="Q2" s="8"/>
    </row>
    <row r="3" spans="1:107" ht="23.25" x14ac:dyDescent="0.35">
      <c r="A3" s="15" t="s">
        <v>9</v>
      </c>
      <c r="B3" s="16"/>
      <c r="C3" s="17"/>
      <c r="D3" s="18"/>
      <c r="E3" s="18"/>
      <c r="F3" s="18"/>
      <c r="G3" s="18"/>
      <c r="H3" s="19"/>
      <c r="K3" s="14"/>
      <c r="L3" s="14"/>
      <c r="M3" s="14"/>
      <c r="N3" s="14"/>
      <c r="O3" s="14"/>
      <c r="P3" s="14"/>
      <c r="Q3" s="8"/>
    </row>
    <row r="4" spans="1:107" ht="24" thickBot="1" x14ac:dyDescent="0.4">
      <c r="A4" s="20"/>
      <c r="B4" s="21"/>
      <c r="C4" s="22"/>
      <c r="D4" s="23"/>
      <c r="E4" s="24"/>
      <c r="F4" s="23"/>
      <c r="G4" s="23"/>
      <c r="H4" s="25"/>
      <c r="K4" s="14"/>
      <c r="L4" s="14"/>
      <c r="M4" s="14"/>
      <c r="N4" s="14"/>
      <c r="O4" s="14"/>
      <c r="P4" s="14"/>
      <c r="Q4" s="8"/>
    </row>
    <row r="5" spans="1:107" ht="23.25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07" ht="24.95" customHeight="1" thickBot="1" x14ac:dyDescent="0.3"/>
    <row r="7" spans="1:107" ht="24" thickBot="1" x14ac:dyDescent="0.4">
      <c r="A7" s="26" t="s">
        <v>10</v>
      </c>
      <c r="B7" s="27"/>
      <c r="C7" s="27"/>
      <c r="D7" s="28" t="s">
        <v>11</v>
      </c>
      <c r="E7" s="28" t="s">
        <v>4</v>
      </c>
      <c r="F7" s="28" t="s">
        <v>5</v>
      </c>
      <c r="G7" s="29" t="s">
        <v>6</v>
      </c>
      <c r="H7" s="30" t="s">
        <v>7</v>
      </c>
    </row>
    <row r="8" spans="1:107" ht="23.25" x14ac:dyDescent="0.35">
      <c r="A8" s="31"/>
      <c r="B8" s="32"/>
      <c r="C8" s="33"/>
      <c r="D8" s="34"/>
      <c r="E8" s="34"/>
      <c r="F8" s="34"/>
      <c r="G8" s="34"/>
      <c r="H8" s="35"/>
    </row>
    <row r="9" spans="1:107" ht="23.25" x14ac:dyDescent="0.35">
      <c r="A9" s="31"/>
      <c r="B9" s="32"/>
      <c r="C9" s="36"/>
      <c r="D9" s="34"/>
      <c r="E9" s="34"/>
      <c r="F9" s="34"/>
      <c r="G9" s="34"/>
      <c r="H9" s="35"/>
    </row>
    <row r="10" spans="1:107" ht="24" customHeight="1" x14ac:dyDescent="0.25"/>
    <row r="11" spans="1:107" ht="23.1" customHeight="1" thickBot="1" x14ac:dyDescent="0.3"/>
    <row r="12" spans="1:107" ht="23.25" x14ac:dyDescent="0.25">
      <c r="A12" s="37" t="s">
        <v>8</v>
      </c>
      <c r="B12" s="38"/>
      <c r="C12" s="38"/>
      <c r="D12" s="38"/>
      <c r="E12" s="128">
        <v>45441</v>
      </c>
      <c r="F12" s="38"/>
      <c r="G12" s="38"/>
      <c r="H12" s="39"/>
      <c r="J12" s="123">
        <v>45442</v>
      </c>
      <c r="K12" s="38"/>
      <c r="L12" s="38"/>
      <c r="M12" s="38"/>
      <c r="N12" s="39"/>
      <c r="O12" s="40"/>
      <c r="P12" s="123">
        <v>45443</v>
      </c>
      <c r="Q12" s="38"/>
      <c r="R12" s="38"/>
      <c r="S12" s="38"/>
      <c r="T12" s="39"/>
      <c r="V12" s="126" t="s">
        <v>13</v>
      </c>
      <c r="W12" s="126" t="s">
        <v>14</v>
      </c>
      <c r="X12" s="40"/>
      <c r="Y12" s="123">
        <v>45444</v>
      </c>
      <c r="Z12" s="38"/>
      <c r="AA12" s="38"/>
      <c r="AB12" s="38"/>
      <c r="AC12" s="39"/>
      <c r="AE12" s="123">
        <v>45445</v>
      </c>
      <c r="AF12" s="38"/>
      <c r="AG12" s="38"/>
      <c r="AH12" s="38"/>
      <c r="AI12" s="39"/>
      <c r="AK12" s="123">
        <v>45446</v>
      </c>
      <c r="AL12" s="38"/>
      <c r="AM12" s="38"/>
      <c r="AN12" s="38"/>
      <c r="AO12" s="39"/>
      <c r="AQ12" s="123"/>
      <c r="AR12" s="38"/>
      <c r="AS12" s="38"/>
      <c r="AT12" s="38"/>
      <c r="AU12" s="39"/>
      <c r="AW12" s="123">
        <v>45638</v>
      </c>
      <c r="AX12" s="38"/>
      <c r="AY12" s="38"/>
      <c r="AZ12" s="38"/>
      <c r="BA12" s="39"/>
      <c r="BC12" s="123">
        <v>45639</v>
      </c>
      <c r="BD12" s="38"/>
      <c r="BF12" s="38"/>
      <c r="BG12" s="39"/>
      <c r="BI12" s="123">
        <v>45640</v>
      </c>
      <c r="BJ12" s="38"/>
      <c r="BK12" s="38"/>
      <c r="BL12" s="38"/>
      <c r="BM12" s="39"/>
      <c r="BP12" s="38"/>
      <c r="BW12" s="120"/>
      <c r="BX12" s="38"/>
      <c r="BY12" s="38"/>
      <c r="BZ12" s="38"/>
      <c r="CA12" s="39"/>
      <c r="CE12" s="120"/>
      <c r="CF12" s="38"/>
      <c r="CG12" s="38"/>
      <c r="CH12" s="38"/>
      <c r="CI12" s="39"/>
      <c r="CJ12" s="120"/>
      <c r="CK12" s="38"/>
      <c r="CL12" s="38"/>
      <c r="CM12" s="38"/>
      <c r="CN12" s="39"/>
      <c r="CO12" s="120"/>
      <c r="CP12" s="38"/>
      <c r="CQ12" s="38"/>
      <c r="CR12" s="38"/>
      <c r="CS12" s="39"/>
      <c r="CT12" s="120"/>
      <c r="CU12" s="38"/>
      <c r="CV12" s="38"/>
      <c r="CW12" s="38"/>
      <c r="CX12" s="39"/>
      <c r="CY12" s="120"/>
      <c r="CZ12" s="38"/>
      <c r="DA12" s="38"/>
      <c r="DB12" s="38"/>
      <c r="DC12" s="39"/>
    </row>
    <row r="13" spans="1:107" ht="24" thickBot="1" x14ac:dyDescent="0.3">
      <c r="A13" s="41"/>
      <c r="B13" s="42"/>
      <c r="C13" s="42"/>
      <c r="D13" s="42"/>
      <c r="E13" s="125"/>
      <c r="F13" s="42"/>
      <c r="G13" s="42"/>
      <c r="H13" s="43"/>
      <c r="J13" s="121"/>
      <c r="K13" s="42"/>
      <c r="L13" s="42"/>
      <c r="M13" s="42"/>
      <c r="N13" s="43"/>
      <c r="O13" s="40"/>
      <c r="P13" s="121"/>
      <c r="Q13" s="42"/>
      <c r="R13" s="42"/>
      <c r="S13" s="42"/>
      <c r="T13" s="43"/>
      <c r="V13" s="127"/>
      <c r="W13" s="127"/>
      <c r="X13" s="40"/>
      <c r="Y13" s="121"/>
      <c r="Z13" s="42"/>
      <c r="AA13" s="42"/>
      <c r="AB13" s="42"/>
      <c r="AC13" s="43"/>
      <c r="AE13" s="121"/>
      <c r="AF13" s="42"/>
      <c r="AG13" s="42"/>
      <c r="AH13" s="42"/>
      <c r="AI13" s="43"/>
      <c r="AK13" s="121"/>
      <c r="AL13" s="42"/>
      <c r="AM13" s="42"/>
      <c r="AN13" s="42"/>
      <c r="AO13" s="43"/>
      <c r="AQ13" s="121"/>
      <c r="AR13" s="42"/>
      <c r="AS13" s="42"/>
      <c r="AT13" s="42"/>
      <c r="AU13" s="43"/>
      <c r="AW13" s="121"/>
      <c r="AX13" s="42"/>
      <c r="AY13" s="42"/>
      <c r="AZ13" s="42"/>
      <c r="BA13" s="43"/>
      <c r="BC13" s="121"/>
      <c r="BD13" s="42"/>
      <c r="BE13" s="42"/>
      <c r="BF13" s="42"/>
      <c r="BG13" s="43"/>
      <c r="BI13" s="121"/>
      <c r="BJ13" s="42"/>
      <c r="BK13" s="42"/>
      <c r="BL13" s="42"/>
      <c r="BM13" s="43"/>
      <c r="BO13" s="42" t="s">
        <v>15</v>
      </c>
      <c r="BP13" s="42"/>
      <c r="BW13" s="121"/>
      <c r="BX13" s="118">
        <v>45641</v>
      </c>
      <c r="BY13" s="42"/>
      <c r="BZ13" s="42"/>
      <c r="CA13" s="43"/>
      <c r="CE13" s="121"/>
      <c r="CF13" s="42"/>
      <c r="CG13" s="42"/>
      <c r="CH13" s="42"/>
      <c r="CI13" s="43"/>
      <c r="CJ13" s="121"/>
      <c r="CK13" s="42"/>
      <c r="CL13" s="42"/>
      <c r="CM13" s="42"/>
      <c r="CN13" s="43"/>
      <c r="CO13" s="121"/>
      <c r="CP13" s="42"/>
      <c r="CQ13" s="42"/>
      <c r="CR13" s="42"/>
      <c r="CS13" s="43"/>
      <c r="CT13" s="121"/>
      <c r="CU13" s="42"/>
      <c r="CV13" s="42"/>
      <c r="CW13" s="42"/>
      <c r="CX13" s="43"/>
      <c r="CY13" s="121"/>
      <c r="CZ13" s="42"/>
      <c r="DA13" s="42"/>
      <c r="DB13" s="42"/>
      <c r="DC13" s="43"/>
    </row>
    <row r="14" spans="1:107" ht="24" thickBot="1" x14ac:dyDescent="0.4">
      <c r="A14" s="44" t="s">
        <v>16</v>
      </c>
      <c r="B14" s="45" t="s">
        <v>17</v>
      </c>
      <c r="C14" s="45"/>
      <c r="D14" s="45" t="s">
        <v>11</v>
      </c>
      <c r="E14" s="45" t="s">
        <v>4</v>
      </c>
      <c r="F14" s="45" t="s">
        <v>5</v>
      </c>
      <c r="G14" s="46" t="s">
        <v>6</v>
      </c>
      <c r="H14" s="47" t="s">
        <v>7</v>
      </c>
      <c r="J14" s="44" t="s">
        <v>11</v>
      </c>
      <c r="K14" s="45" t="s">
        <v>4</v>
      </c>
      <c r="L14" s="45" t="s">
        <v>5</v>
      </c>
      <c r="M14" s="46" t="s">
        <v>6</v>
      </c>
      <c r="N14" s="47" t="s">
        <v>7</v>
      </c>
      <c r="O14" s="7"/>
      <c r="P14" s="44" t="s">
        <v>11</v>
      </c>
      <c r="Q14" s="45" t="s">
        <v>4</v>
      </c>
      <c r="R14" s="45" t="s">
        <v>5</v>
      </c>
      <c r="S14" s="46" t="s">
        <v>6</v>
      </c>
      <c r="T14" s="47" t="s">
        <v>7</v>
      </c>
      <c r="V14" s="7"/>
      <c r="W14" s="7"/>
      <c r="X14" s="7"/>
      <c r="Y14" s="44" t="s">
        <v>11</v>
      </c>
      <c r="Z14" s="45" t="s">
        <v>4</v>
      </c>
      <c r="AA14" s="45" t="s">
        <v>5</v>
      </c>
      <c r="AB14" s="46" t="s">
        <v>6</v>
      </c>
      <c r="AC14" s="47" t="s">
        <v>7</v>
      </c>
      <c r="AE14" s="44" t="s">
        <v>11</v>
      </c>
      <c r="AF14" s="45" t="s">
        <v>4</v>
      </c>
      <c r="AG14" s="45" t="s">
        <v>5</v>
      </c>
      <c r="AH14" s="46" t="s">
        <v>6</v>
      </c>
      <c r="AI14" s="47"/>
      <c r="AK14" s="44" t="s">
        <v>11</v>
      </c>
      <c r="AL14" s="45" t="s">
        <v>4</v>
      </c>
      <c r="AM14" s="45" t="s">
        <v>5</v>
      </c>
      <c r="AN14" s="46" t="s">
        <v>6</v>
      </c>
      <c r="AO14" s="47"/>
      <c r="AQ14" s="44" t="s">
        <v>11</v>
      </c>
      <c r="AR14" s="45" t="s">
        <v>4</v>
      </c>
      <c r="AS14" s="45" t="s">
        <v>5</v>
      </c>
      <c r="AT14" s="46" t="s">
        <v>6</v>
      </c>
      <c r="AU14" s="47"/>
      <c r="AW14" s="44" t="s">
        <v>11</v>
      </c>
      <c r="AX14" s="45" t="s">
        <v>4</v>
      </c>
      <c r="AY14" s="45" t="s">
        <v>5</v>
      </c>
      <c r="AZ14" s="46" t="s">
        <v>6</v>
      </c>
      <c r="BA14" s="47"/>
      <c r="BC14" s="44" t="s">
        <v>11</v>
      </c>
      <c r="BD14" s="45" t="s">
        <v>4</v>
      </c>
      <c r="BE14" s="45" t="s">
        <v>5</v>
      </c>
      <c r="BF14" s="46" t="s">
        <v>6</v>
      </c>
      <c r="BG14" s="47"/>
      <c r="BI14" s="44" t="s">
        <v>11</v>
      </c>
      <c r="BJ14" s="45" t="s">
        <v>4</v>
      </c>
      <c r="BK14" s="45" t="s">
        <v>5</v>
      </c>
      <c r="BL14" s="46" t="s">
        <v>6</v>
      </c>
      <c r="BM14" s="47"/>
      <c r="BO14" s="45" t="s">
        <v>12</v>
      </c>
      <c r="BP14" s="46" t="s">
        <v>18</v>
      </c>
      <c r="BW14" s="44" t="s">
        <v>11</v>
      </c>
      <c r="BX14" s="45" t="s">
        <v>4</v>
      </c>
      <c r="BY14" s="45" t="s">
        <v>5</v>
      </c>
      <c r="BZ14" s="46" t="s">
        <v>6</v>
      </c>
      <c r="CA14" s="47"/>
      <c r="CE14" s="44"/>
      <c r="CF14" s="45"/>
      <c r="CG14" s="45"/>
      <c r="CH14" s="46"/>
      <c r="CI14" s="47"/>
      <c r="CJ14" s="44"/>
      <c r="CK14" s="45"/>
      <c r="CL14" s="45"/>
      <c r="CM14" s="46"/>
      <c r="CN14" s="47"/>
      <c r="CO14" s="44"/>
      <c r="CP14" s="45"/>
      <c r="CQ14" s="45"/>
      <c r="CR14" s="46"/>
      <c r="CS14" s="47"/>
      <c r="CT14" s="44"/>
      <c r="CU14" s="45"/>
      <c r="CV14" s="45"/>
      <c r="CW14" s="46"/>
      <c r="CX14" s="47"/>
      <c r="CY14" s="44"/>
      <c r="CZ14" s="45"/>
      <c r="DA14" s="45"/>
      <c r="DB14" s="46"/>
      <c r="DC14" s="47"/>
    </row>
    <row r="15" spans="1:107" ht="23.25" x14ac:dyDescent="0.35">
      <c r="A15" s="48" t="s">
        <v>24</v>
      </c>
      <c r="B15" s="49" t="s">
        <v>23</v>
      </c>
      <c r="C15" s="50"/>
      <c r="D15" s="51">
        <v>2.11</v>
      </c>
      <c r="E15" s="52">
        <v>9.1087962962962968E-2</v>
      </c>
      <c r="F15" s="51">
        <v>0.9</v>
      </c>
      <c r="G15" s="51">
        <v>2.6</v>
      </c>
      <c r="H15" s="53">
        <v>6</v>
      </c>
      <c r="J15" s="54">
        <v>6.49</v>
      </c>
      <c r="K15" s="55">
        <v>0.21861111111111112</v>
      </c>
      <c r="L15" s="56">
        <v>1.2</v>
      </c>
      <c r="M15" s="56">
        <v>3.3</v>
      </c>
      <c r="N15" s="57">
        <v>21</v>
      </c>
      <c r="O15" s="58"/>
      <c r="P15" s="59">
        <v>2.81</v>
      </c>
      <c r="Q15" s="52">
        <v>0.11087962962962963</v>
      </c>
      <c r="R15" s="51">
        <v>1</v>
      </c>
      <c r="S15" s="51">
        <v>2.1</v>
      </c>
      <c r="T15" s="53">
        <v>9</v>
      </c>
      <c r="V15" s="51">
        <f>AVERAGE(J15,P15)</f>
        <v>4.6500000000000004</v>
      </c>
      <c r="W15" s="60">
        <f>AVERAGE(D15,J15,P15)</f>
        <v>3.8033333333333332</v>
      </c>
      <c r="Y15" s="59">
        <v>4.96</v>
      </c>
      <c r="Z15" s="52">
        <v>0.18138888888888888</v>
      </c>
      <c r="AA15" s="51">
        <v>1.1000000000000001</v>
      </c>
      <c r="AB15" s="51">
        <v>2.6</v>
      </c>
      <c r="AC15" s="53">
        <v>16</v>
      </c>
      <c r="AE15" s="59">
        <v>5.86</v>
      </c>
      <c r="AF15" s="52">
        <v>0.18394675925925927</v>
      </c>
      <c r="AG15" s="51">
        <v>1.3</v>
      </c>
      <c r="AH15" s="51">
        <v>2.6</v>
      </c>
      <c r="AI15" s="53">
        <v>20</v>
      </c>
      <c r="AK15" s="59">
        <v>5.4</v>
      </c>
      <c r="AL15" s="52">
        <v>0.15554398148148149</v>
      </c>
      <c r="AM15" s="51">
        <v>1.4</v>
      </c>
      <c r="AN15" s="51">
        <v>3.3</v>
      </c>
      <c r="AO15" s="53">
        <v>19</v>
      </c>
      <c r="AQ15" s="59"/>
      <c r="AR15" s="52"/>
      <c r="AS15" s="51"/>
      <c r="AT15" s="51"/>
      <c r="AU15" s="61"/>
      <c r="AW15" s="59"/>
      <c r="AX15" s="52"/>
      <c r="AY15" s="51"/>
      <c r="AZ15" s="51"/>
      <c r="BA15" s="53"/>
      <c r="BC15" s="59"/>
      <c r="BD15" s="52"/>
      <c r="BE15" s="51"/>
      <c r="BF15" s="51"/>
      <c r="BG15" s="53"/>
      <c r="BI15" s="51"/>
      <c r="BJ15" s="52"/>
      <c r="BK15" s="51"/>
      <c r="BL15" s="51"/>
      <c r="BM15" s="53"/>
      <c r="BO15" s="51">
        <v>34.700000000000003</v>
      </c>
      <c r="BP15" s="51">
        <v>34.6</v>
      </c>
      <c r="BW15" s="59"/>
      <c r="BX15" s="52"/>
      <c r="BY15" s="51"/>
      <c r="BZ15" s="51"/>
      <c r="CA15" s="53"/>
      <c r="CE15" s="51"/>
      <c r="CF15" s="52"/>
      <c r="CG15" s="51"/>
      <c r="CH15" s="51"/>
      <c r="CI15" s="53"/>
      <c r="CJ15" s="51"/>
      <c r="CK15" s="52"/>
      <c r="CL15" s="51"/>
      <c r="CM15" s="51"/>
      <c r="CN15" s="53"/>
      <c r="CO15" s="51"/>
      <c r="CP15" s="52"/>
      <c r="CQ15" s="51"/>
      <c r="CR15" s="51"/>
      <c r="CS15" s="53"/>
      <c r="CT15" s="51"/>
      <c r="CU15" s="52"/>
      <c r="CV15" s="51"/>
      <c r="CW15" s="51"/>
      <c r="CX15" s="53"/>
      <c r="CY15" s="51"/>
      <c r="CZ15" s="52"/>
      <c r="DA15" s="51"/>
      <c r="DB15" s="51"/>
      <c r="DC15" s="53"/>
    </row>
    <row r="16" spans="1:107" ht="23.25" x14ac:dyDescent="0.35">
      <c r="A16" s="48" t="s">
        <v>25</v>
      </c>
      <c r="B16" s="49" t="s">
        <v>23</v>
      </c>
      <c r="C16" s="50"/>
      <c r="D16" s="51">
        <v>2.99</v>
      </c>
      <c r="E16" s="52">
        <v>0.15593750000000001</v>
      </c>
      <c r="F16" s="51">
        <v>0.8</v>
      </c>
      <c r="G16" s="51">
        <v>2.1</v>
      </c>
      <c r="H16" s="53">
        <v>7</v>
      </c>
      <c r="J16" s="59">
        <v>1.57</v>
      </c>
      <c r="K16" s="52">
        <v>6.8564814814814815E-2</v>
      </c>
      <c r="L16" s="51">
        <v>0.9</v>
      </c>
      <c r="M16" s="51">
        <v>2.6</v>
      </c>
      <c r="N16" s="61">
        <v>4</v>
      </c>
      <c r="O16" s="62"/>
      <c r="P16" s="59">
        <v>1.41</v>
      </c>
      <c r="Q16" s="52">
        <v>5.3564814814814815E-2</v>
      </c>
      <c r="R16" s="51">
        <v>1.1000000000000001</v>
      </c>
      <c r="S16" s="51">
        <v>2.6</v>
      </c>
      <c r="T16" s="53">
        <v>4</v>
      </c>
      <c r="V16" s="51">
        <f t="shared" ref="V16:V33" si="0">AVERAGE(J16,P16)</f>
        <v>1.49</v>
      </c>
      <c r="W16" s="60">
        <f t="shared" ref="W16:W33" si="1">AVERAGE(D16,J16,P16)</f>
        <v>1.9900000000000002</v>
      </c>
      <c r="X16" s="51"/>
      <c r="Y16" s="59">
        <v>3.07</v>
      </c>
      <c r="Z16" s="52">
        <v>0.10635416666666667</v>
      </c>
      <c r="AA16" s="51">
        <v>1.2</v>
      </c>
      <c r="AB16" s="51">
        <v>2.8</v>
      </c>
      <c r="AC16" s="53">
        <v>10</v>
      </c>
      <c r="AE16" s="59">
        <v>2.21</v>
      </c>
      <c r="AF16" s="52">
        <v>6.7152777777777783E-2</v>
      </c>
      <c r="AG16" s="51">
        <v>1.3</v>
      </c>
      <c r="AH16" s="51">
        <v>2.8</v>
      </c>
      <c r="AI16" s="53">
        <v>8</v>
      </c>
      <c r="AK16" s="59">
        <v>4.05</v>
      </c>
      <c r="AL16" s="52">
        <v>0.11621527777777778</v>
      </c>
      <c r="AM16" s="51">
        <v>1.4</v>
      </c>
      <c r="AN16" s="51">
        <v>3.4</v>
      </c>
      <c r="AO16" s="53">
        <v>14</v>
      </c>
      <c r="AQ16" s="59"/>
      <c r="AR16" s="52"/>
      <c r="AS16" s="51"/>
      <c r="AT16" s="51"/>
      <c r="AU16" s="53"/>
      <c r="AW16" s="59"/>
      <c r="AX16" s="52"/>
      <c r="AY16" s="51"/>
      <c r="AZ16" s="51"/>
      <c r="BA16" s="53"/>
      <c r="BC16" s="59"/>
      <c r="BD16" s="52"/>
      <c r="BE16" s="51"/>
      <c r="BF16" s="51"/>
      <c r="BG16" s="53"/>
      <c r="BI16" s="59"/>
      <c r="BJ16" s="52"/>
      <c r="BK16" s="51"/>
      <c r="BL16" s="51"/>
      <c r="BM16" s="53"/>
      <c r="BO16" s="51">
        <v>33.299999999999997</v>
      </c>
      <c r="BP16" s="51">
        <v>32.799999999999997</v>
      </c>
      <c r="BW16" s="119"/>
      <c r="BX16" s="52"/>
      <c r="BY16" s="51"/>
      <c r="BZ16" s="51"/>
      <c r="CA16" s="53"/>
      <c r="CE16" s="59"/>
      <c r="CF16" s="52"/>
      <c r="CG16" s="51"/>
      <c r="CH16" s="51"/>
      <c r="CI16" s="53"/>
      <c r="CJ16" s="51"/>
      <c r="CK16" s="52"/>
      <c r="CL16" s="51"/>
      <c r="CM16" s="51"/>
      <c r="CN16" s="53"/>
      <c r="CO16" s="59"/>
      <c r="CP16" s="52"/>
      <c r="CQ16" s="51"/>
      <c r="CR16" s="51"/>
      <c r="CS16" s="53"/>
      <c r="CT16" s="59"/>
      <c r="CU16" s="52"/>
      <c r="CV16" s="51"/>
      <c r="CW16" s="51"/>
      <c r="CX16" s="53"/>
      <c r="CY16" s="59"/>
      <c r="CZ16" s="52"/>
      <c r="DA16" s="51"/>
      <c r="DB16" s="51"/>
      <c r="DC16" s="53"/>
    </row>
    <row r="17" spans="1:107" ht="23.25" x14ac:dyDescent="0.35">
      <c r="A17" s="48" t="s">
        <v>26</v>
      </c>
      <c r="B17" s="49" t="s">
        <v>23</v>
      </c>
      <c r="C17" s="50"/>
      <c r="D17" s="51">
        <v>6.56</v>
      </c>
      <c r="E17" s="52">
        <v>0.2744328703703704</v>
      </c>
      <c r="F17" s="51">
        <v>0.9</v>
      </c>
      <c r="G17" s="51">
        <v>2.9</v>
      </c>
      <c r="H17" s="53">
        <v>20</v>
      </c>
      <c r="J17" s="59">
        <v>4.5</v>
      </c>
      <c r="K17" s="52">
        <v>0.21320601851851853</v>
      </c>
      <c r="L17" s="51">
        <v>0.8</v>
      </c>
      <c r="M17" s="51">
        <v>2</v>
      </c>
      <c r="N17" s="61">
        <v>13</v>
      </c>
      <c r="O17" s="62"/>
      <c r="P17" s="59">
        <v>4.51</v>
      </c>
      <c r="Q17" s="52">
        <v>0.20783564814814814</v>
      </c>
      <c r="R17" s="51">
        <v>0.9</v>
      </c>
      <c r="S17" s="51">
        <v>2.2000000000000002</v>
      </c>
      <c r="T17" s="53">
        <v>13</v>
      </c>
      <c r="V17" s="51">
        <f t="shared" si="0"/>
        <v>4.5049999999999999</v>
      </c>
      <c r="W17" s="60">
        <f t="shared" si="1"/>
        <v>5.1899999999999995</v>
      </c>
      <c r="X17" s="51"/>
      <c r="Y17" s="59">
        <v>5.32</v>
      </c>
      <c r="Z17" s="52">
        <v>0.25892361111111112</v>
      </c>
      <c r="AA17" s="51">
        <v>0.8</v>
      </c>
      <c r="AB17" s="51">
        <v>1.9</v>
      </c>
      <c r="AC17" s="53">
        <v>15</v>
      </c>
      <c r="AE17" s="59">
        <v>6.12</v>
      </c>
      <c r="AF17" s="52">
        <v>0.27048611111111109</v>
      </c>
      <c r="AG17" s="51">
        <v>0.9</v>
      </c>
      <c r="AH17" s="51">
        <v>2.4</v>
      </c>
      <c r="AI17" s="53">
        <v>18</v>
      </c>
      <c r="AK17" s="59">
        <v>5.79</v>
      </c>
      <c r="AL17" s="52">
        <v>0.24076388888888889</v>
      </c>
      <c r="AM17" s="51">
        <v>1</v>
      </c>
      <c r="AN17" s="51">
        <v>3</v>
      </c>
      <c r="AO17" s="53">
        <v>17</v>
      </c>
      <c r="AQ17" s="59"/>
      <c r="AR17" s="52"/>
      <c r="AS17" s="51"/>
      <c r="AT17" s="51"/>
      <c r="AU17" s="53"/>
      <c r="AW17" s="59"/>
      <c r="AX17" s="52"/>
      <c r="AY17" s="51"/>
      <c r="AZ17" s="51"/>
      <c r="BA17" s="53"/>
      <c r="BC17" s="59"/>
      <c r="BD17" s="52"/>
      <c r="BE17" s="51"/>
      <c r="BF17" s="51"/>
      <c r="BG17" s="53"/>
      <c r="BI17" s="59"/>
      <c r="BJ17" s="52"/>
      <c r="BK17" s="51"/>
      <c r="BL17" s="51"/>
      <c r="BM17" s="53"/>
      <c r="BO17" s="51">
        <v>36.700000000000003</v>
      </c>
      <c r="BP17" s="51">
        <v>38.299999999999997</v>
      </c>
      <c r="BW17" s="59"/>
      <c r="BX17" s="52"/>
      <c r="BY17" s="51"/>
      <c r="BZ17" s="51"/>
      <c r="CA17" s="53"/>
      <c r="CE17" s="59"/>
      <c r="CF17" s="52"/>
      <c r="CG17" s="51"/>
      <c r="CH17" s="51"/>
      <c r="CI17" s="53"/>
      <c r="CJ17" s="59"/>
      <c r="CK17" s="52"/>
      <c r="CL17" s="51"/>
      <c r="CM17" s="51"/>
      <c r="CN17" s="53"/>
      <c r="CO17" s="59"/>
      <c r="CP17" s="52"/>
      <c r="CQ17" s="51"/>
      <c r="CR17" s="51"/>
      <c r="CS17" s="53"/>
      <c r="CT17" s="59"/>
      <c r="CU17" s="52"/>
      <c r="CV17" s="51"/>
      <c r="CW17" s="51"/>
      <c r="CX17" s="53"/>
      <c r="CY17" s="59"/>
      <c r="CZ17" s="52"/>
      <c r="DA17" s="51"/>
      <c r="DB17" s="51"/>
      <c r="DC17" s="53"/>
    </row>
    <row r="18" spans="1:107" ht="23.25" x14ac:dyDescent="0.35">
      <c r="C18" s="50"/>
      <c r="D18" s="51"/>
      <c r="E18" s="52"/>
      <c r="F18" s="51"/>
      <c r="G18" s="51"/>
      <c r="H18" s="53"/>
      <c r="J18" s="59"/>
      <c r="K18" s="52"/>
      <c r="L18" s="51"/>
      <c r="M18" s="51"/>
      <c r="N18" s="61"/>
      <c r="O18" s="62"/>
      <c r="P18" s="59"/>
      <c r="Q18" s="52"/>
      <c r="R18" s="51"/>
      <c r="S18" s="51"/>
      <c r="T18" s="61"/>
      <c r="V18" s="51" t="e">
        <f t="shared" si="0"/>
        <v>#DIV/0!</v>
      </c>
      <c r="W18" s="60" t="e">
        <f t="shared" si="1"/>
        <v>#DIV/0!</v>
      </c>
      <c r="X18" s="51"/>
      <c r="Y18" s="59"/>
      <c r="Z18" s="52"/>
      <c r="AA18" s="51"/>
      <c r="AB18" s="51"/>
      <c r="AC18" s="61"/>
      <c r="AE18" s="59"/>
      <c r="AF18" s="52"/>
      <c r="AG18" s="51"/>
      <c r="AH18" s="51"/>
      <c r="AI18" s="61"/>
      <c r="AK18" s="59"/>
      <c r="AL18" s="52"/>
      <c r="AM18" s="51"/>
      <c r="AN18" s="51"/>
      <c r="AO18" s="61"/>
      <c r="AQ18" s="59"/>
      <c r="AR18" s="52"/>
      <c r="AS18" s="51"/>
      <c r="AT18" s="51"/>
      <c r="AU18" s="61"/>
      <c r="AW18" s="59"/>
      <c r="AX18" s="52"/>
      <c r="AY18" s="51"/>
      <c r="AZ18" s="51"/>
      <c r="BA18" s="61"/>
      <c r="BC18" s="59"/>
      <c r="BD18" s="52"/>
      <c r="BE18" s="51"/>
      <c r="BF18" s="51"/>
      <c r="BG18" s="61"/>
      <c r="BI18" s="59"/>
      <c r="BJ18" s="52"/>
      <c r="BK18" s="51"/>
      <c r="BL18" s="51"/>
      <c r="BM18" s="61"/>
      <c r="BO18" s="51">
        <v>33.200000000000003</v>
      </c>
      <c r="BP18" s="51">
        <v>34.5</v>
      </c>
      <c r="BW18" s="59"/>
      <c r="BX18" s="52"/>
      <c r="BY18" s="51"/>
      <c r="BZ18" s="51"/>
      <c r="CA18" s="61"/>
      <c r="CE18" s="59"/>
      <c r="CF18" s="52"/>
      <c r="CG18" s="51"/>
      <c r="CH18" s="51"/>
      <c r="CI18" s="61"/>
      <c r="CJ18" s="59"/>
      <c r="CK18" s="52"/>
      <c r="CL18" s="51"/>
      <c r="CM18" s="51"/>
      <c r="CN18" s="61"/>
      <c r="CO18" s="59"/>
      <c r="CP18" s="52"/>
      <c r="CQ18" s="51"/>
      <c r="CR18" s="51"/>
      <c r="CS18" s="61"/>
      <c r="CT18" s="59"/>
      <c r="CU18" s="52"/>
      <c r="CV18" s="51"/>
      <c r="CW18" s="51"/>
      <c r="CX18" s="61"/>
      <c r="CY18" s="59"/>
      <c r="CZ18" s="52"/>
      <c r="DA18" s="51"/>
      <c r="DB18" s="51"/>
      <c r="DC18" s="61"/>
    </row>
    <row r="19" spans="1:107" ht="23.25" x14ac:dyDescent="0.35">
      <c r="A19" s="48"/>
      <c r="B19" s="49"/>
      <c r="C19" s="63"/>
      <c r="D19" s="51"/>
      <c r="E19" s="52"/>
      <c r="F19" s="51"/>
      <c r="G19" s="51"/>
      <c r="H19" s="61"/>
      <c r="J19" s="59"/>
      <c r="K19" s="52"/>
      <c r="L19" s="51"/>
      <c r="M19" s="51"/>
      <c r="N19" s="61"/>
      <c r="O19" s="62"/>
      <c r="P19" s="59"/>
      <c r="Q19" s="52"/>
      <c r="R19" s="51"/>
      <c r="S19" s="51"/>
      <c r="T19" s="61"/>
      <c r="V19" s="51" t="e">
        <f t="shared" si="0"/>
        <v>#DIV/0!</v>
      </c>
      <c r="W19" s="60" t="e">
        <f t="shared" si="1"/>
        <v>#DIV/0!</v>
      </c>
      <c r="X19" s="51"/>
      <c r="Y19" s="59"/>
      <c r="Z19" s="52"/>
      <c r="AA19" s="51"/>
      <c r="AB19" s="51"/>
      <c r="AC19" s="61"/>
      <c r="AE19" s="59"/>
      <c r="AF19" s="52"/>
      <c r="AG19" s="51"/>
      <c r="AH19" s="51"/>
      <c r="AI19" s="61"/>
      <c r="AK19" s="59"/>
      <c r="AL19" s="52"/>
      <c r="AM19" s="51"/>
      <c r="AN19" s="51"/>
      <c r="AO19" s="61"/>
      <c r="AQ19" s="59"/>
      <c r="AR19" s="52"/>
      <c r="AS19" s="51"/>
      <c r="AT19" s="51"/>
      <c r="AU19" s="61"/>
      <c r="AW19" s="59"/>
      <c r="AX19" s="52"/>
      <c r="AY19" s="51"/>
      <c r="AZ19" s="51"/>
      <c r="BA19" s="61"/>
      <c r="BC19" s="59"/>
      <c r="BD19" s="52"/>
      <c r="BE19" s="51"/>
      <c r="BF19" s="51"/>
      <c r="BG19" s="61"/>
      <c r="BI19" s="59"/>
      <c r="BJ19" s="52"/>
      <c r="BK19" s="51"/>
      <c r="BL19" s="51"/>
      <c r="BM19" s="61"/>
      <c r="BO19" s="51">
        <v>42</v>
      </c>
      <c r="BP19" s="51">
        <v>41.1</v>
      </c>
      <c r="BW19" s="59"/>
      <c r="BX19" s="52"/>
      <c r="BY19" s="51"/>
      <c r="BZ19" s="51"/>
      <c r="CA19" s="61"/>
      <c r="CE19" s="59"/>
      <c r="CF19" s="52"/>
      <c r="CG19" s="51"/>
      <c r="CH19" s="51"/>
      <c r="CI19" s="61"/>
      <c r="CJ19" s="59"/>
      <c r="CK19" s="52"/>
      <c r="CL19" s="51"/>
      <c r="CM19" s="51"/>
      <c r="CN19" s="61"/>
      <c r="CO19" s="59"/>
      <c r="CP19" s="52"/>
      <c r="CQ19" s="51"/>
      <c r="CR19" s="51"/>
      <c r="CS19" s="61"/>
      <c r="CT19" s="59"/>
      <c r="CU19" s="52"/>
      <c r="CV19" s="51"/>
      <c r="CW19" s="51"/>
      <c r="CX19" s="61"/>
      <c r="CY19" s="59"/>
      <c r="CZ19" s="52"/>
      <c r="DA19" s="51"/>
      <c r="DB19" s="51"/>
      <c r="DC19" s="61"/>
    </row>
    <row r="20" spans="1:107" ht="23.25" x14ac:dyDescent="0.35">
      <c r="A20" s="48"/>
      <c r="B20" s="49"/>
      <c r="C20" s="63"/>
      <c r="D20" s="51"/>
      <c r="E20" s="52"/>
      <c r="F20" s="51"/>
      <c r="G20" s="51"/>
      <c r="H20" s="61"/>
      <c r="I20" s="51"/>
      <c r="J20" s="59"/>
      <c r="K20" s="52"/>
      <c r="L20" s="51"/>
      <c r="M20" s="51"/>
      <c r="N20" s="61"/>
      <c r="O20" s="62"/>
      <c r="P20" s="59"/>
      <c r="Q20" s="52"/>
      <c r="R20" s="51"/>
      <c r="S20" s="51"/>
      <c r="T20" s="61"/>
      <c r="V20" s="51" t="e">
        <f t="shared" si="0"/>
        <v>#DIV/0!</v>
      </c>
      <c r="W20" s="60" t="e">
        <f t="shared" si="1"/>
        <v>#DIV/0!</v>
      </c>
      <c r="X20" s="51"/>
      <c r="Y20" s="59"/>
      <c r="Z20" s="52"/>
      <c r="AA20" s="51"/>
      <c r="AB20" s="51"/>
      <c r="AC20" s="61"/>
      <c r="AE20" s="59"/>
      <c r="AF20" s="52"/>
      <c r="AG20" s="51"/>
      <c r="AH20" s="51"/>
      <c r="AI20" s="61"/>
      <c r="AK20" s="59"/>
      <c r="AL20" s="52"/>
      <c r="AM20" s="51"/>
      <c r="AN20" s="51"/>
      <c r="AO20" s="61"/>
      <c r="AQ20" s="59"/>
      <c r="AR20" s="52"/>
      <c r="AS20" s="51"/>
      <c r="AT20" s="51"/>
      <c r="AU20" s="61"/>
      <c r="AW20" s="59"/>
      <c r="AX20" s="52"/>
      <c r="AY20" s="51"/>
      <c r="AZ20" s="51"/>
      <c r="BA20" s="61"/>
      <c r="BC20" s="59"/>
      <c r="BD20" s="52"/>
      <c r="BE20" s="51"/>
      <c r="BF20" s="51"/>
      <c r="BG20" s="61"/>
      <c r="BI20" s="59"/>
      <c r="BJ20" s="52"/>
      <c r="BK20" s="51"/>
      <c r="BL20" s="51"/>
      <c r="BM20" s="61"/>
      <c r="BO20" s="51">
        <v>33.4</v>
      </c>
      <c r="BP20" s="51">
        <v>33.200000000000003</v>
      </c>
      <c r="BW20" s="59"/>
      <c r="BX20" s="52"/>
      <c r="BY20" s="51"/>
      <c r="BZ20" s="51"/>
      <c r="CA20" s="61"/>
      <c r="CE20" s="59"/>
      <c r="CF20" s="52"/>
      <c r="CG20" s="51"/>
      <c r="CH20" s="51"/>
      <c r="CI20" s="61"/>
      <c r="CJ20" s="59"/>
      <c r="CK20" s="52"/>
      <c r="CL20" s="51"/>
      <c r="CM20" s="51"/>
      <c r="CN20" s="61"/>
      <c r="CO20" s="59"/>
      <c r="CP20" s="52"/>
      <c r="CQ20" s="51"/>
      <c r="CR20" s="51"/>
      <c r="CS20" s="61"/>
      <c r="CT20" s="59"/>
      <c r="CU20" s="52"/>
      <c r="CV20" s="51"/>
      <c r="CW20" s="51"/>
      <c r="CX20" s="61"/>
      <c r="CY20" s="59"/>
      <c r="CZ20" s="52"/>
      <c r="DA20" s="51"/>
      <c r="DB20" s="51"/>
      <c r="DC20" s="61"/>
    </row>
    <row r="21" spans="1:107" ht="23.25" x14ac:dyDescent="0.35">
      <c r="A21" s="48"/>
      <c r="B21" s="49"/>
      <c r="C21" s="63"/>
      <c r="D21" s="51"/>
      <c r="E21" s="52"/>
      <c r="F21" s="51"/>
      <c r="G21" s="51"/>
      <c r="H21" s="61"/>
      <c r="J21" s="59"/>
      <c r="K21" s="52"/>
      <c r="L21" s="51"/>
      <c r="M21" s="51"/>
      <c r="N21" s="61"/>
      <c r="O21" s="62"/>
      <c r="P21" s="59"/>
      <c r="Q21" s="52"/>
      <c r="R21" s="51"/>
      <c r="S21" s="51"/>
      <c r="T21" s="61"/>
      <c r="V21" s="51" t="e">
        <f t="shared" si="0"/>
        <v>#DIV/0!</v>
      </c>
      <c r="W21" s="60" t="e">
        <f t="shared" si="1"/>
        <v>#DIV/0!</v>
      </c>
      <c r="X21" s="51"/>
      <c r="Y21" s="59"/>
      <c r="Z21" s="52"/>
      <c r="AA21" s="51"/>
      <c r="AB21" s="51"/>
      <c r="AC21" s="61"/>
      <c r="AE21" s="59"/>
      <c r="AF21" s="52"/>
      <c r="AG21" s="51"/>
      <c r="AH21" s="51"/>
      <c r="AI21" s="61"/>
      <c r="AK21" s="59"/>
      <c r="AL21" s="52"/>
      <c r="AM21" s="51"/>
      <c r="AN21" s="51"/>
      <c r="AO21" s="61"/>
      <c r="AQ21" s="59"/>
      <c r="AR21" s="52"/>
      <c r="AS21" s="51"/>
      <c r="AT21" s="51"/>
      <c r="AU21" s="61"/>
      <c r="AW21" s="59"/>
      <c r="AX21" s="52"/>
      <c r="AY21" s="51"/>
      <c r="AZ21" s="51"/>
      <c r="BA21" s="61"/>
      <c r="BC21" s="59"/>
      <c r="BD21" s="52"/>
      <c r="BE21" s="51"/>
      <c r="BF21" s="51"/>
      <c r="BG21" s="61"/>
      <c r="BI21" s="59"/>
      <c r="BJ21" s="52"/>
      <c r="BK21" s="51"/>
      <c r="BL21" s="51"/>
      <c r="BM21" s="61"/>
      <c r="BO21" s="51"/>
      <c r="BP21" s="51"/>
      <c r="BW21" s="59"/>
      <c r="BX21" s="52"/>
      <c r="BY21" s="51"/>
      <c r="BZ21" s="51"/>
      <c r="CA21" s="61"/>
      <c r="CE21" s="59"/>
      <c r="CF21" s="52"/>
      <c r="CG21" s="51"/>
      <c r="CH21" s="51"/>
      <c r="CI21" s="61"/>
      <c r="CJ21" s="59"/>
      <c r="CK21" s="52"/>
      <c r="CL21" s="51"/>
      <c r="CM21" s="51"/>
      <c r="CN21" s="61"/>
      <c r="CO21" s="59"/>
      <c r="CP21" s="52"/>
      <c r="CQ21" s="51"/>
      <c r="CR21" s="51"/>
      <c r="CS21" s="61"/>
      <c r="CT21" s="59"/>
      <c r="CU21" s="52"/>
      <c r="CV21" s="51"/>
      <c r="CW21" s="51"/>
      <c r="CX21" s="61"/>
      <c r="CY21" s="59"/>
      <c r="CZ21" s="52"/>
      <c r="DA21" s="51"/>
      <c r="DB21" s="51"/>
      <c r="DC21" s="61"/>
    </row>
    <row r="22" spans="1:107" ht="23.25" x14ac:dyDescent="0.35">
      <c r="A22" s="48"/>
      <c r="B22" s="49"/>
      <c r="C22" s="63"/>
      <c r="D22" s="51"/>
      <c r="E22" s="52"/>
      <c r="F22" s="51"/>
      <c r="G22" s="51"/>
      <c r="H22" s="61"/>
      <c r="J22" s="59"/>
      <c r="K22" s="52"/>
      <c r="L22" s="51"/>
      <c r="M22" s="51"/>
      <c r="N22" s="61"/>
      <c r="O22" s="62"/>
      <c r="P22" s="59"/>
      <c r="Q22" s="52"/>
      <c r="R22" s="51"/>
      <c r="S22" s="51"/>
      <c r="T22" s="61"/>
      <c r="V22" s="51" t="e">
        <f t="shared" si="0"/>
        <v>#DIV/0!</v>
      </c>
      <c r="W22" s="60" t="e">
        <f t="shared" si="1"/>
        <v>#DIV/0!</v>
      </c>
      <c r="X22" s="51"/>
      <c r="Y22" s="59"/>
      <c r="Z22" s="52"/>
      <c r="AA22" s="51"/>
      <c r="AB22" s="51"/>
      <c r="AC22" s="61"/>
      <c r="AE22" s="59"/>
      <c r="AF22" s="52"/>
      <c r="AG22" s="51"/>
      <c r="AH22" s="51"/>
      <c r="AI22" s="61"/>
      <c r="AK22" s="59"/>
      <c r="AL22" s="52"/>
      <c r="AM22" s="51"/>
      <c r="AN22" s="51"/>
      <c r="AO22" s="61"/>
      <c r="AQ22" s="59"/>
      <c r="AR22" s="52"/>
      <c r="AS22" s="51"/>
      <c r="AT22" s="51"/>
      <c r="AU22" s="61"/>
      <c r="AW22" s="59"/>
      <c r="AX22" s="52"/>
      <c r="AY22" s="51"/>
      <c r="AZ22" s="51"/>
      <c r="BA22" s="61"/>
      <c r="BC22" s="59"/>
      <c r="BD22" s="52"/>
      <c r="BE22" s="51"/>
      <c r="BF22" s="51"/>
      <c r="BG22" s="61"/>
      <c r="BI22" s="59"/>
      <c r="BJ22" s="52"/>
      <c r="BK22" s="51"/>
      <c r="BL22" s="51"/>
      <c r="BM22" s="61"/>
      <c r="BO22" s="51"/>
      <c r="BP22" s="51"/>
      <c r="BW22" s="59"/>
      <c r="BX22" s="52"/>
      <c r="BY22" s="51"/>
      <c r="BZ22" s="51"/>
      <c r="CA22" s="61"/>
      <c r="CE22" s="59"/>
      <c r="CF22" s="52"/>
      <c r="CG22" s="51"/>
      <c r="CH22" s="51"/>
      <c r="CI22" s="61"/>
      <c r="CJ22" s="59"/>
      <c r="CK22" s="52"/>
      <c r="CL22" s="51"/>
      <c r="CM22" s="51"/>
      <c r="CN22" s="61"/>
      <c r="CO22" s="59"/>
      <c r="CP22" s="52"/>
      <c r="CQ22" s="51"/>
      <c r="CR22" s="51"/>
      <c r="CS22" s="61"/>
      <c r="CT22" s="59"/>
      <c r="CU22" s="52"/>
      <c r="CV22" s="51"/>
      <c r="CW22" s="51"/>
      <c r="CX22" s="61"/>
      <c r="CY22" s="59"/>
      <c r="CZ22" s="52"/>
      <c r="DA22" s="51"/>
      <c r="DB22" s="51"/>
      <c r="DC22" s="61"/>
    </row>
    <row r="23" spans="1:107" ht="23.25" x14ac:dyDescent="0.35">
      <c r="A23" s="48"/>
      <c r="B23" s="49"/>
      <c r="C23" s="63"/>
      <c r="D23" s="51"/>
      <c r="E23" s="52"/>
      <c r="F23" s="51"/>
      <c r="G23" s="51"/>
      <c r="H23" s="61"/>
      <c r="J23" s="59"/>
      <c r="K23" s="52"/>
      <c r="L23" s="51"/>
      <c r="M23" s="51"/>
      <c r="N23" s="61"/>
      <c r="O23" s="62"/>
      <c r="P23" s="59"/>
      <c r="Q23" s="52"/>
      <c r="R23" s="51"/>
      <c r="S23" s="51"/>
      <c r="T23" s="61"/>
      <c r="V23" s="51" t="e">
        <f t="shared" si="0"/>
        <v>#DIV/0!</v>
      </c>
      <c r="W23" s="60" t="e">
        <f t="shared" si="1"/>
        <v>#DIV/0!</v>
      </c>
      <c r="X23" s="51"/>
      <c r="Y23" s="59"/>
      <c r="Z23" s="52"/>
      <c r="AA23" s="51"/>
      <c r="AB23" s="51"/>
      <c r="AC23" s="61"/>
      <c r="AE23" s="59"/>
      <c r="AF23" s="52"/>
      <c r="AG23" s="51"/>
      <c r="AH23" s="51"/>
      <c r="AI23" s="61"/>
      <c r="AK23" s="59"/>
      <c r="AL23" s="52"/>
      <c r="AM23" s="51"/>
      <c r="AN23" s="51"/>
      <c r="AO23" s="61"/>
      <c r="AQ23" s="59"/>
      <c r="AR23" s="52"/>
      <c r="AS23" s="51"/>
      <c r="AT23" s="51"/>
      <c r="AU23" s="61"/>
      <c r="AW23" s="59"/>
      <c r="AX23" s="52"/>
      <c r="AY23" s="51"/>
      <c r="AZ23" s="51"/>
      <c r="BA23" s="61"/>
      <c r="BC23" s="59"/>
      <c r="BD23" s="52"/>
      <c r="BE23" s="51"/>
      <c r="BF23" s="51"/>
      <c r="BG23" s="61"/>
      <c r="BI23" s="59"/>
      <c r="BJ23" s="52"/>
      <c r="BK23" s="51"/>
      <c r="BL23" s="51"/>
      <c r="BM23" s="61"/>
      <c r="BO23" s="51"/>
      <c r="BP23" s="51"/>
      <c r="BW23" s="59"/>
      <c r="BX23" s="52"/>
      <c r="BY23" s="51"/>
      <c r="BZ23" s="51"/>
      <c r="CA23" s="61"/>
      <c r="CE23" s="59"/>
      <c r="CF23" s="52"/>
      <c r="CG23" s="51"/>
      <c r="CH23" s="51"/>
      <c r="CI23" s="61"/>
      <c r="CJ23" s="59"/>
      <c r="CK23" s="52"/>
      <c r="CL23" s="51"/>
      <c r="CM23" s="51"/>
      <c r="CN23" s="61"/>
      <c r="CO23" s="59"/>
      <c r="CP23" s="52"/>
      <c r="CQ23" s="51"/>
      <c r="CR23" s="51"/>
      <c r="CS23" s="61"/>
      <c r="CT23" s="59"/>
      <c r="CU23" s="52"/>
      <c r="CV23" s="51"/>
      <c r="CW23" s="51"/>
      <c r="CX23" s="61"/>
      <c r="CY23" s="59"/>
      <c r="CZ23" s="52"/>
      <c r="DA23" s="51"/>
      <c r="DB23" s="51"/>
      <c r="DC23" s="61"/>
    </row>
    <row r="24" spans="1:107" ht="23.25" x14ac:dyDescent="0.35">
      <c r="A24" s="48"/>
      <c r="B24" s="49"/>
      <c r="C24" s="63"/>
      <c r="D24" s="51"/>
      <c r="E24" s="52"/>
      <c r="F24" s="51"/>
      <c r="G24" s="51"/>
      <c r="H24" s="61"/>
      <c r="J24" s="59"/>
      <c r="K24" s="52"/>
      <c r="L24" s="51"/>
      <c r="M24" s="51"/>
      <c r="N24" s="61"/>
      <c r="O24" s="62"/>
      <c r="P24" s="59"/>
      <c r="Q24" s="52"/>
      <c r="R24" s="51"/>
      <c r="S24" s="51"/>
      <c r="T24" s="61"/>
      <c r="V24" s="51" t="e">
        <f t="shared" si="0"/>
        <v>#DIV/0!</v>
      </c>
      <c r="W24" s="60" t="e">
        <f t="shared" si="1"/>
        <v>#DIV/0!</v>
      </c>
      <c r="X24" s="51"/>
      <c r="Y24" s="59"/>
      <c r="Z24" s="52"/>
      <c r="AA24" s="51"/>
      <c r="AB24" s="51"/>
      <c r="AC24" s="61"/>
      <c r="AE24" s="59"/>
      <c r="AF24" s="52"/>
      <c r="AG24" s="51"/>
      <c r="AH24" s="51"/>
      <c r="AI24" s="61"/>
      <c r="AK24" s="59"/>
      <c r="AL24" s="52"/>
      <c r="AM24" s="51"/>
      <c r="AN24" s="51"/>
      <c r="AO24" s="61"/>
      <c r="AQ24" s="59"/>
      <c r="AR24" s="52"/>
      <c r="AS24" s="51"/>
      <c r="AT24" s="51"/>
      <c r="AU24" s="61"/>
      <c r="AW24" s="59"/>
      <c r="AX24" s="52"/>
      <c r="AY24" s="51"/>
      <c r="AZ24" s="51"/>
      <c r="BA24" s="61"/>
      <c r="BC24" s="59"/>
      <c r="BD24" s="52"/>
      <c r="BE24" s="51"/>
      <c r="BF24" s="51"/>
      <c r="BG24" s="61"/>
      <c r="BI24" s="59"/>
      <c r="BJ24" s="52"/>
      <c r="BK24" s="51"/>
      <c r="BL24" s="51"/>
      <c r="BM24" s="61"/>
      <c r="BO24" s="51"/>
      <c r="BP24" s="51"/>
      <c r="BW24" s="59"/>
      <c r="BX24" s="52"/>
      <c r="BY24" s="51"/>
      <c r="BZ24" s="51"/>
      <c r="CA24" s="61"/>
      <c r="CE24" s="59"/>
      <c r="CF24" s="52"/>
      <c r="CG24" s="51"/>
      <c r="CH24" s="51"/>
      <c r="CI24" s="61"/>
      <c r="CJ24" s="59"/>
      <c r="CK24" s="52"/>
      <c r="CL24" s="51"/>
      <c r="CM24" s="51"/>
      <c r="CN24" s="61"/>
      <c r="CO24" s="59"/>
      <c r="CP24" s="52"/>
      <c r="CQ24" s="51"/>
      <c r="CR24" s="51"/>
      <c r="CS24" s="61"/>
      <c r="CT24" s="59"/>
      <c r="CU24" s="52"/>
      <c r="CV24" s="51"/>
      <c r="CW24" s="51"/>
      <c r="CX24" s="61"/>
      <c r="CY24" s="59"/>
      <c r="CZ24" s="52"/>
      <c r="DA24" s="51"/>
      <c r="DB24" s="51"/>
      <c r="DC24" s="61"/>
    </row>
    <row r="25" spans="1:107" ht="23.25" x14ac:dyDescent="0.35">
      <c r="A25" s="48"/>
      <c r="B25" s="49"/>
      <c r="C25" s="63"/>
      <c r="D25" s="51"/>
      <c r="E25" s="52"/>
      <c r="F25" s="51"/>
      <c r="G25" s="51"/>
      <c r="H25" s="61"/>
      <c r="J25" s="59"/>
      <c r="K25" s="52"/>
      <c r="L25" s="51"/>
      <c r="M25" s="51"/>
      <c r="N25" s="61"/>
      <c r="O25" s="62"/>
      <c r="P25" s="59"/>
      <c r="Q25" s="52"/>
      <c r="R25" s="51"/>
      <c r="S25" s="51"/>
      <c r="T25" s="61"/>
      <c r="V25" s="51" t="e">
        <f t="shared" si="0"/>
        <v>#DIV/0!</v>
      </c>
      <c r="W25" s="60" t="e">
        <f t="shared" si="1"/>
        <v>#DIV/0!</v>
      </c>
      <c r="X25" s="51"/>
      <c r="Y25" s="59"/>
      <c r="Z25" s="52"/>
      <c r="AA25" s="51"/>
      <c r="AB25" s="51"/>
      <c r="AC25" s="61"/>
      <c r="AE25" s="59"/>
      <c r="AF25" s="52"/>
      <c r="AG25" s="51"/>
      <c r="AH25" s="51"/>
      <c r="AI25" s="61"/>
      <c r="AK25" s="59"/>
      <c r="AL25" s="52"/>
      <c r="AM25" s="51"/>
      <c r="AN25" s="51"/>
      <c r="AO25" s="61"/>
      <c r="AQ25" s="59"/>
      <c r="AR25" s="52"/>
      <c r="AS25" s="51"/>
      <c r="AT25" s="51"/>
      <c r="AU25" s="61"/>
      <c r="AW25" s="59"/>
      <c r="AX25" s="52"/>
      <c r="AY25" s="51"/>
      <c r="AZ25" s="51"/>
      <c r="BA25" s="61"/>
      <c r="BC25" s="59"/>
      <c r="BD25" s="52"/>
      <c r="BE25" s="51"/>
      <c r="BF25" s="51"/>
      <c r="BG25" s="61"/>
      <c r="BI25" s="59"/>
      <c r="BJ25" s="52"/>
      <c r="BK25" s="51"/>
      <c r="BL25" s="51"/>
      <c r="BM25" s="61"/>
      <c r="BO25" s="51"/>
      <c r="BP25" s="51"/>
      <c r="BW25" s="59"/>
      <c r="BX25" s="52"/>
      <c r="BY25" s="51"/>
      <c r="BZ25" s="51"/>
      <c r="CA25" s="61"/>
      <c r="CE25" s="59"/>
      <c r="CF25" s="52"/>
      <c r="CG25" s="51"/>
      <c r="CH25" s="51"/>
      <c r="CI25" s="61"/>
      <c r="CJ25" s="59"/>
      <c r="CK25" s="52"/>
      <c r="CL25" s="51"/>
      <c r="CM25" s="51"/>
      <c r="CN25" s="61"/>
      <c r="CO25" s="59"/>
      <c r="CP25" s="52"/>
      <c r="CQ25" s="51"/>
      <c r="CR25" s="51"/>
      <c r="CS25" s="61"/>
      <c r="CT25" s="59"/>
      <c r="CU25" s="52"/>
      <c r="CV25" s="51"/>
      <c r="CW25" s="51"/>
      <c r="CX25" s="61"/>
      <c r="CY25" s="59"/>
      <c r="CZ25" s="52"/>
      <c r="DA25" s="51"/>
      <c r="DB25" s="51"/>
      <c r="DC25" s="61"/>
    </row>
    <row r="26" spans="1:107" ht="23.25" x14ac:dyDescent="0.35">
      <c r="A26" s="48"/>
      <c r="B26" s="49"/>
      <c r="C26" s="50"/>
      <c r="D26" s="51"/>
      <c r="E26" s="52"/>
      <c r="F26" s="51"/>
      <c r="G26" s="51"/>
      <c r="H26" s="66"/>
      <c r="J26" s="59"/>
      <c r="K26" s="52"/>
      <c r="L26" s="51"/>
      <c r="M26" s="51"/>
      <c r="N26" s="53"/>
      <c r="O26" s="62"/>
      <c r="P26" s="67"/>
      <c r="Q26" s="52"/>
      <c r="R26" s="51"/>
      <c r="S26" s="51"/>
      <c r="T26" s="53"/>
      <c r="V26" s="51" t="e">
        <f t="shared" si="0"/>
        <v>#DIV/0!</v>
      </c>
      <c r="W26" s="60" t="e">
        <f t="shared" si="1"/>
        <v>#DIV/0!</v>
      </c>
      <c r="X26" s="51"/>
      <c r="Y26" s="67"/>
      <c r="Z26" s="52"/>
      <c r="AA26" s="51"/>
      <c r="AB26" s="51"/>
      <c r="AC26" s="53"/>
      <c r="AE26" s="67"/>
      <c r="AF26" s="52"/>
      <c r="AG26" s="51"/>
      <c r="AH26" s="51"/>
      <c r="AI26" s="53"/>
      <c r="AK26" s="67"/>
      <c r="AL26" s="52"/>
      <c r="AM26" s="51"/>
      <c r="AN26" s="51"/>
      <c r="AO26" s="53"/>
      <c r="AQ26" s="67"/>
      <c r="AR26" s="52"/>
      <c r="AS26" s="51"/>
      <c r="AT26" s="51"/>
      <c r="AU26" s="53"/>
      <c r="AW26" s="67"/>
      <c r="AX26" s="52"/>
      <c r="AY26" s="51"/>
      <c r="AZ26" s="51"/>
      <c r="BA26" s="53"/>
      <c r="BC26" s="67"/>
      <c r="BD26" s="52"/>
      <c r="BE26" s="51"/>
      <c r="BF26" s="51"/>
      <c r="BG26" s="53"/>
      <c r="BI26" s="67"/>
      <c r="BJ26" s="52"/>
      <c r="BK26" s="51"/>
      <c r="BL26" s="51"/>
      <c r="BM26" s="53"/>
      <c r="BO26" s="51"/>
      <c r="BP26" s="51"/>
      <c r="BW26" s="67"/>
      <c r="BX26" s="52"/>
      <c r="BY26" s="51"/>
      <c r="BZ26" s="51"/>
      <c r="CA26" s="53"/>
      <c r="CE26" s="67"/>
      <c r="CF26" s="52"/>
      <c r="CG26" s="51"/>
      <c r="CH26" s="51"/>
      <c r="CI26" s="53"/>
      <c r="CJ26" s="67"/>
      <c r="CK26" s="52"/>
      <c r="CL26" s="51"/>
      <c r="CM26" s="51"/>
      <c r="CN26" s="53"/>
      <c r="CO26" s="67"/>
      <c r="CP26" s="52"/>
      <c r="CQ26" s="51"/>
      <c r="CR26" s="51"/>
      <c r="CS26" s="53"/>
      <c r="CT26" s="67"/>
      <c r="CU26" s="52"/>
      <c r="CV26" s="51"/>
      <c r="CW26" s="51"/>
      <c r="CX26" s="53"/>
      <c r="CY26" s="67"/>
      <c r="CZ26" s="52"/>
      <c r="DA26" s="51"/>
      <c r="DB26" s="51"/>
      <c r="DC26" s="53"/>
    </row>
    <row r="27" spans="1:107" ht="23.25" x14ac:dyDescent="0.35">
      <c r="A27" s="48"/>
      <c r="B27" s="49"/>
      <c r="C27" s="63"/>
      <c r="D27" s="51"/>
      <c r="E27" s="52"/>
      <c r="F27" s="51"/>
      <c r="G27" s="51"/>
      <c r="H27" s="66"/>
      <c r="J27" s="59"/>
      <c r="K27" s="52"/>
      <c r="L27" s="51"/>
      <c r="M27" s="51"/>
      <c r="N27" s="53"/>
      <c r="O27" s="62"/>
      <c r="P27" s="67"/>
      <c r="Q27" s="52"/>
      <c r="R27" s="51"/>
      <c r="S27" s="51"/>
      <c r="T27" s="53"/>
      <c r="V27" s="51" t="e">
        <f t="shared" si="0"/>
        <v>#DIV/0!</v>
      </c>
      <c r="W27" s="60" t="e">
        <f t="shared" si="1"/>
        <v>#DIV/0!</v>
      </c>
      <c r="X27" s="51"/>
      <c r="Y27" s="67"/>
      <c r="Z27" s="52"/>
      <c r="AA27" s="51"/>
      <c r="AB27" s="51"/>
      <c r="AC27" s="53"/>
      <c r="AE27" s="67"/>
      <c r="AF27" s="52"/>
      <c r="AG27" s="51"/>
      <c r="AH27" s="51"/>
      <c r="AI27" s="53"/>
      <c r="AK27" s="67"/>
      <c r="AL27" s="52"/>
      <c r="AM27" s="51"/>
      <c r="AN27" s="51"/>
      <c r="AO27" s="53"/>
      <c r="AQ27" s="67"/>
      <c r="AR27" s="52"/>
      <c r="AS27" s="51"/>
      <c r="AT27" s="51"/>
      <c r="AU27" s="53"/>
      <c r="AW27" s="67"/>
      <c r="AX27" s="52"/>
      <c r="AY27" s="51"/>
      <c r="AZ27" s="51"/>
      <c r="BA27" s="53"/>
      <c r="BC27" s="67"/>
      <c r="BD27" s="52"/>
      <c r="BE27" s="51"/>
      <c r="BF27" s="51"/>
      <c r="BG27" s="53"/>
      <c r="BI27" s="67"/>
      <c r="BJ27" s="52"/>
      <c r="BK27" s="51"/>
      <c r="BL27" s="51"/>
      <c r="BM27" s="53"/>
      <c r="BW27" s="67"/>
      <c r="BX27" s="52"/>
      <c r="BY27" s="51"/>
      <c r="BZ27" s="51"/>
      <c r="CA27" s="53"/>
      <c r="CE27" s="67"/>
      <c r="CF27" s="52"/>
      <c r="CG27" s="51"/>
      <c r="CH27" s="51"/>
      <c r="CI27" s="53"/>
      <c r="CJ27" s="67"/>
      <c r="CK27" s="52"/>
      <c r="CL27" s="51"/>
      <c r="CM27" s="51"/>
      <c r="CN27" s="53"/>
      <c r="CO27" s="67"/>
      <c r="CP27" s="52"/>
      <c r="CQ27" s="51"/>
      <c r="CR27" s="51"/>
      <c r="CS27" s="53"/>
      <c r="CT27" s="67"/>
      <c r="CU27" s="52"/>
      <c r="CV27" s="51"/>
      <c r="CW27" s="51"/>
      <c r="CX27" s="53"/>
      <c r="CY27" s="67"/>
      <c r="CZ27" s="52"/>
      <c r="DA27" s="51"/>
      <c r="DB27" s="51"/>
      <c r="DC27" s="53"/>
    </row>
    <row r="28" spans="1:107" ht="26.25" x14ac:dyDescent="0.4">
      <c r="A28" s="65"/>
      <c r="B28" s="49"/>
      <c r="C28" s="63"/>
      <c r="D28" s="51"/>
      <c r="E28" s="52"/>
      <c r="F28" s="51"/>
      <c r="G28" s="51"/>
      <c r="H28" s="66"/>
      <c r="J28" s="51"/>
      <c r="K28" s="52"/>
      <c r="L28" s="51"/>
      <c r="M28" s="51"/>
      <c r="N28" s="53"/>
      <c r="O28" s="62"/>
      <c r="P28" s="51"/>
      <c r="Q28" s="52"/>
      <c r="R28" s="51"/>
      <c r="S28" s="51"/>
      <c r="T28" s="53"/>
      <c r="V28" s="51" t="e">
        <f t="shared" si="0"/>
        <v>#DIV/0!</v>
      </c>
      <c r="W28" s="60" t="e">
        <f t="shared" si="1"/>
        <v>#DIV/0!</v>
      </c>
      <c r="X28" s="51"/>
      <c r="Y28" s="51"/>
      <c r="Z28" s="52"/>
      <c r="AA28" s="51"/>
      <c r="AB28" s="51"/>
      <c r="AC28" s="53"/>
      <c r="AE28" s="51"/>
      <c r="AF28" s="52"/>
      <c r="AG28" s="51"/>
      <c r="AH28" s="51"/>
      <c r="AI28" s="53"/>
      <c r="AK28" s="51"/>
      <c r="AL28" s="52"/>
      <c r="AM28" s="51"/>
      <c r="AN28" s="51"/>
      <c r="AO28" s="53"/>
      <c r="AQ28" s="51"/>
      <c r="AR28" s="52"/>
      <c r="AS28" s="51"/>
      <c r="AT28" s="51"/>
      <c r="AU28" s="53"/>
      <c r="AW28" s="67"/>
      <c r="AX28" s="52"/>
      <c r="AY28" s="51"/>
      <c r="AZ28" s="51"/>
      <c r="BA28" s="53"/>
      <c r="BC28" s="67"/>
      <c r="BD28" s="52"/>
      <c r="BE28" s="51"/>
      <c r="BF28" s="51"/>
      <c r="BG28" s="53"/>
      <c r="BI28" s="68"/>
      <c r="BJ28" s="52"/>
      <c r="BK28" s="51"/>
      <c r="BL28" s="51"/>
      <c r="BM28" s="53"/>
      <c r="BO28" s="69"/>
      <c r="BP28" s="69"/>
      <c r="BW28" s="68"/>
      <c r="BX28" s="52"/>
      <c r="BY28" s="51"/>
      <c r="BZ28" s="51"/>
      <c r="CA28" s="53"/>
      <c r="CE28" s="68"/>
      <c r="CF28" s="52"/>
      <c r="CG28" s="51"/>
      <c r="CH28" s="51"/>
      <c r="CI28" s="53"/>
      <c r="CJ28" s="68"/>
      <c r="CK28" s="52"/>
      <c r="CL28" s="51"/>
      <c r="CM28" s="51"/>
      <c r="CN28" s="53"/>
      <c r="CO28" s="68"/>
      <c r="CP28" s="52"/>
      <c r="CQ28" s="51"/>
      <c r="CR28" s="51"/>
      <c r="CS28" s="53"/>
      <c r="CT28" s="68"/>
      <c r="CU28" s="52"/>
      <c r="CV28" s="51"/>
      <c r="CW28" s="51"/>
      <c r="CX28" s="53"/>
      <c r="CY28" s="68"/>
      <c r="CZ28" s="52"/>
      <c r="DA28" s="51"/>
      <c r="DB28" s="51"/>
      <c r="DC28" s="53"/>
    </row>
    <row r="29" spans="1:107" ht="23.25" x14ac:dyDescent="0.35">
      <c r="A29" s="65"/>
      <c r="B29" s="49"/>
      <c r="C29" s="63"/>
      <c r="D29" s="51"/>
      <c r="E29" s="52"/>
      <c r="F29" s="51"/>
      <c r="G29" s="51"/>
      <c r="H29" s="66"/>
      <c r="J29" s="59"/>
      <c r="K29" s="52"/>
      <c r="L29" s="51"/>
      <c r="M29" s="51"/>
      <c r="N29" s="53"/>
      <c r="O29" s="62"/>
      <c r="P29" s="67"/>
      <c r="Q29" s="52"/>
      <c r="R29" s="51"/>
      <c r="S29" s="51"/>
      <c r="T29" s="53"/>
      <c r="V29" s="51" t="e">
        <f t="shared" si="0"/>
        <v>#DIV/0!</v>
      </c>
      <c r="W29" s="60" t="e">
        <f t="shared" si="1"/>
        <v>#DIV/0!</v>
      </c>
      <c r="X29" s="51"/>
      <c r="Y29" s="67"/>
      <c r="Z29" s="52"/>
      <c r="AA29" s="51"/>
      <c r="AB29" s="51"/>
      <c r="AC29" s="53"/>
      <c r="AE29" s="67"/>
      <c r="AF29" s="52"/>
      <c r="AG29" s="51"/>
      <c r="AH29" s="51"/>
      <c r="AI29" s="53"/>
      <c r="AK29" s="67"/>
      <c r="AL29" s="52"/>
      <c r="AM29" s="51"/>
      <c r="AN29" s="51"/>
      <c r="AO29" s="53"/>
      <c r="AQ29" s="67"/>
      <c r="AR29" s="52"/>
      <c r="AS29" s="51"/>
      <c r="AT29" s="51"/>
      <c r="AU29" s="53"/>
      <c r="AW29" s="67"/>
      <c r="AX29" s="52"/>
      <c r="AY29" s="51"/>
      <c r="AZ29" s="51"/>
      <c r="BA29" s="53"/>
      <c r="BC29" s="67"/>
      <c r="BD29" s="52"/>
      <c r="BE29" s="51"/>
      <c r="BF29" s="51"/>
      <c r="BG29" s="53"/>
      <c r="BI29" s="67"/>
      <c r="BJ29" s="52"/>
      <c r="BK29" s="51"/>
      <c r="BL29" s="51"/>
      <c r="BM29" s="53"/>
      <c r="BW29" s="67"/>
      <c r="BX29" s="52"/>
      <c r="BY29" s="51"/>
      <c r="BZ29" s="51"/>
      <c r="CA29" s="53"/>
      <c r="CE29" s="67"/>
      <c r="CF29" s="52"/>
      <c r="CG29" s="51"/>
      <c r="CH29" s="51"/>
      <c r="CI29" s="53"/>
      <c r="CJ29" s="67"/>
      <c r="CK29" s="52"/>
      <c r="CL29" s="51"/>
      <c r="CM29" s="51"/>
      <c r="CN29" s="53"/>
      <c r="CO29" s="67"/>
      <c r="CP29" s="52"/>
      <c r="CQ29" s="51"/>
      <c r="CR29" s="51"/>
      <c r="CS29" s="53"/>
      <c r="CT29" s="67"/>
      <c r="CU29" s="52"/>
      <c r="CV29" s="51"/>
      <c r="CW29" s="51"/>
      <c r="CX29" s="53"/>
      <c r="CY29" s="67"/>
      <c r="CZ29" s="52"/>
      <c r="DA29" s="51"/>
      <c r="DB29" s="51"/>
      <c r="DC29" s="53"/>
    </row>
    <row r="30" spans="1:107" ht="23.25" x14ac:dyDescent="0.35">
      <c r="A30" s="65"/>
      <c r="B30" s="49"/>
      <c r="C30" s="63"/>
      <c r="D30" s="51"/>
      <c r="E30" s="52"/>
      <c r="F30" s="51"/>
      <c r="G30" s="51"/>
      <c r="H30" s="66"/>
      <c r="J30" s="59"/>
      <c r="K30" s="52"/>
      <c r="L30" s="51"/>
      <c r="M30" s="51"/>
      <c r="N30" s="53"/>
      <c r="O30" s="62"/>
      <c r="P30" s="67"/>
      <c r="Q30" s="52"/>
      <c r="R30" s="51"/>
      <c r="S30" s="51"/>
      <c r="T30" s="53"/>
      <c r="V30" s="51" t="e">
        <f t="shared" si="0"/>
        <v>#DIV/0!</v>
      </c>
      <c r="W30" s="60" t="e">
        <f>AVERAGE(D30,J30,P30)</f>
        <v>#DIV/0!</v>
      </c>
      <c r="X30" s="51"/>
      <c r="Y30" s="67"/>
      <c r="Z30" s="52"/>
      <c r="AA30" s="51"/>
      <c r="AB30" s="51"/>
      <c r="AC30" s="53"/>
      <c r="AE30" s="67"/>
      <c r="AF30" s="52"/>
      <c r="AG30" s="51"/>
      <c r="AH30" s="51"/>
      <c r="AI30" s="53"/>
      <c r="AK30" s="67"/>
      <c r="AL30" s="52"/>
      <c r="AM30" s="51"/>
      <c r="AN30" s="51"/>
      <c r="AO30" s="53"/>
      <c r="AQ30" s="67"/>
      <c r="AR30" s="52"/>
      <c r="AS30" s="51"/>
      <c r="AT30" s="51"/>
      <c r="AU30" s="53"/>
      <c r="AW30" s="67"/>
      <c r="AX30" s="52"/>
      <c r="AY30" s="51"/>
      <c r="AZ30" s="51"/>
      <c r="BA30" s="53"/>
      <c r="BC30" s="67"/>
      <c r="BD30" s="52"/>
      <c r="BE30" s="51"/>
      <c r="BF30" s="51"/>
      <c r="BG30" s="53"/>
      <c r="BI30" s="67"/>
      <c r="BJ30" s="52"/>
      <c r="BK30" s="51"/>
      <c r="BL30" s="51"/>
      <c r="BM30" s="53"/>
      <c r="BW30" s="67"/>
      <c r="BX30" s="52"/>
      <c r="BY30" s="51"/>
      <c r="BZ30" s="51"/>
      <c r="CA30" s="53"/>
      <c r="CE30" s="67"/>
      <c r="CF30" s="52"/>
      <c r="CG30" s="51"/>
      <c r="CH30" s="51"/>
      <c r="CI30" s="53"/>
      <c r="CJ30" s="67"/>
      <c r="CK30" s="52"/>
      <c r="CL30" s="51"/>
      <c r="CM30" s="51"/>
      <c r="CN30" s="53"/>
      <c r="CO30" s="67"/>
      <c r="CP30" s="52"/>
      <c r="CQ30" s="51"/>
      <c r="CR30" s="51"/>
      <c r="CS30" s="53"/>
      <c r="CT30" s="67"/>
      <c r="CU30" s="52"/>
      <c r="CV30" s="51"/>
      <c r="CW30" s="51"/>
      <c r="CX30" s="53"/>
      <c r="CY30" s="67"/>
      <c r="CZ30" s="52"/>
      <c r="DA30" s="51"/>
      <c r="DB30" s="51"/>
      <c r="DC30" s="53"/>
    </row>
    <row r="31" spans="1:107" ht="23.25" x14ac:dyDescent="0.35">
      <c r="A31" s="65"/>
      <c r="B31" s="49"/>
      <c r="C31" s="63"/>
      <c r="D31" s="51"/>
      <c r="E31" s="52"/>
      <c r="F31" s="51"/>
      <c r="G31" s="51"/>
      <c r="H31" s="66"/>
      <c r="J31" s="59"/>
      <c r="K31" s="52"/>
      <c r="L31" s="51"/>
      <c r="M31" s="51"/>
      <c r="N31" s="53"/>
      <c r="O31" s="62"/>
      <c r="P31" s="67"/>
      <c r="Q31" s="52"/>
      <c r="R31" s="51"/>
      <c r="S31" s="51"/>
      <c r="T31" s="53"/>
      <c r="V31" s="51" t="e">
        <f t="shared" si="0"/>
        <v>#DIV/0!</v>
      </c>
      <c r="W31" s="60" t="e">
        <f t="shared" si="1"/>
        <v>#DIV/0!</v>
      </c>
      <c r="X31" s="51"/>
      <c r="Y31" s="67"/>
      <c r="Z31" s="52"/>
      <c r="AA31" s="51"/>
      <c r="AB31" s="51"/>
      <c r="AC31" s="53"/>
      <c r="AE31" s="67"/>
      <c r="AF31" s="52"/>
      <c r="AG31" s="51"/>
      <c r="AH31" s="51"/>
      <c r="AI31" s="53"/>
      <c r="AK31" s="67"/>
      <c r="AL31" s="52"/>
      <c r="AM31" s="51"/>
      <c r="AN31" s="51"/>
      <c r="AO31" s="53"/>
      <c r="AQ31" s="67"/>
      <c r="AR31" s="52"/>
      <c r="AS31" s="51"/>
      <c r="AT31" s="51"/>
      <c r="AU31" s="53"/>
      <c r="AW31" s="67"/>
      <c r="AX31" s="52"/>
      <c r="AY31" s="51"/>
      <c r="AZ31" s="51"/>
      <c r="BA31" s="53"/>
      <c r="BC31" s="67"/>
      <c r="BD31" s="52"/>
      <c r="BE31" s="51"/>
      <c r="BF31" s="51"/>
      <c r="BG31" s="53"/>
      <c r="BI31" s="67"/>
      <c r="BJ31" s="52"/>
      <c r="BK31" s="51"/>
      <c r="BL31" s="51"/>
      <c r="BM31" s="53"/>
      <c r="BW31" s="67"/>
      <c r="BX31" s="52"/>
      <c r="BY31" s="51"/>
      <c r="BZ31" s="51"/>
      <c r="CA31" s="53"/>
      <c r="CE31" s="67"/>
      <c r="CF31" s="52"/>
      <c r="CG31" s="51"/>
      <c r="CH31" s="51"/>
      <c r="CI31" s="53"/>
      <c r="CJ31" s="67"/>
      <c r="CK31" s="52"/>
      <c r="CL31" s="51"/>
      <c r="CM31" s="51"/>
      <c r="CN31" s="53"/>
      <c r="CO31" s="67"/>
      <c r="CP31" s="52"/>
      <c r="CQ31" s="51"/>
      <c r="CR31" s="51"/>
      <c r="CS31" s="53"/>
      <c r="CT31" s="67"/>
      <c r="CU31" s="52"/>
      <c r="CV31" s="51"/>
      <c r="CW31" s="51"/>
      <c r="CX31" s="53"/>
      <c r="CY31" s="67"/>
      <c r="CZ31" s="52"/>
      <c r="DA31" s="51"/>
      <c r="DB31" s="51"/>
      <c r="DC31" s="53"/>
    </row>
    <row r="32" spans="1:107" ht="23.25" x14ac:dyDescent="0.35">
      <c r="A32" s="64"/>
      <c r="B32" s="49"/>
      <c r="C32" s="63"/>
      <c r="D32" s="51"/>
      <c r="E32" s="52"/>
      <c r="F32" s="51"/>
      <c r="G32" s="51"/>
      <c r="H32" s="61"/>
      <c r="J32" s="70"/>
      <c r="K32" s="52"/>
      <c r="L32" s="51"/>
      <c r="M32" s="51"/>
      <c r="N32" s="61"/>
      <c r="O32" s="62"/>
      <c r="P32" s="59"/>
      <c r="Q32" s="52"/>
      <c r="R32" s="51"/>
      <c r="S32" s="51"/>
      <c r="T32" s="61"/>
      <c r="V32" s="51" t="e">
        <f t="shared" si="0"/>
        <v>#DIV/0!</v>
      </c>
      <c r="W32" s="60" t="e">
        <f t="shared" si="1"/>
        <v>#DIV/0!</v>
      </c>
      <c r="X32" s="51"/>
      <c r="Y32" s="59"/>
      <c r="Z32" s="52"/>
      <c r="AA32" s="51"/>
      <c r="AB32" s="51"/>
      <c r="AC32" s="61"/>
      <c r="AE32" s="59"/>
      <c r="AF32" s="52"/>
      <c r="AG32" s="51"/>
      <c r="AH32" s="51"/>
      <c r="AI32" s="61"/>
      <c r="AK32" s="59"/>
      <c r="AL32" s="52"/>
      <c r="AM32" s="51"/>
      <c r="AN32" s="51"/>
      <c r="AO32" s="61"/>
      <c r="AQ32" s="59"/>
      <c r="AR32" s="52"/>
      <c r="AS32" s="51"/>
      <c r="AT32" s="51"/>
      <c r="AU32" s="61"/>
      <c r="AW32" s="59"/>
      <c r="AX32" s="52"/>
      <c r="AY32" s="51"/>
      <c r="AZ32" s="51"/>
      <c r="BA32" s="61"/>
      <c r="BC32" s="59"/>
      <c r="BD32" s="52"/>
      <c r="BE32" s="51"/>
      <c r="BF32" s="51"/>
      <c r="BG32" s="61"/>
      <c r="BI32" s="59"/>
      <c r="BJ32" s="52"/>
      <c r="BK32" s="51"/>
      <c r="BL32" s="51"/>
      <c r="BM32" s="61"/>
      <c r="BW32" s="59"/>
      <c r="BX32" s="52"/>
      <c r="BY32" s="51"/>
      <c r="BZ32" s="51"/>
      <c r="CA32" s="61"/>
      <c r="CE32" s="59"/>
      <c r="CF32" s="52"/>
      <c r="CG32" s="51"/>
      <c r="CH32" s="51"/>
      <c r="CI32" s="61"/>
      <c r="CJ32" s="59"/>
      <c r="CK32" s="52"/>
      <c r="CL32" s="51"/>
      <c r="CM32" s="51"/>
      <c r="CN32" s="61"/>
      <c r="CO32" s="59"/>
      <c r="CP32" s="52"/>
      <c r="CQ32" s="51"/>
      <c r="CR32" s="51"/>
      <c r="CS32" s="61"/>
      <c r="CT32" s="59"/>
      <c r="CU32" s="52"/>
      <c r="CV32" s="51"/>
      <c r="CW32" s="51"/>
      <c r="CX32" s="61"/>
      <c r="CY32" s="67"/>
      <c r="CZ32" s="52"/>
      <c r="DA32" s="51"/>
      <c r="DB32" s="51"/>
      <c r="DC32" s="61"/>
    </row>
    <row r="33" spans="1:107" ht="23.25" x14ac:dyDescent="0.35">
      <c r="A33" s="64"/>
      <c r="B33" s="65"/>
      <c r="C33" s="71"/>
      <c r="D33" s="51"/>
      <c r="E33" s="52"/>
      <c r="F33" s="51"/>
      <c r="G33" s="51"/>
      <c r="H33" s="61"/>
      <c r="J33" s="59"/>
      <c r="K33" s="72"/>
      <c r="L33" s="51"/>
      <c r="M33" s="51"/>
      <c r="N33" s="61"/>
      <c r="O33" s="62"/>
      <c r="P33" s="59"/>
      <c r="Q33" s="52"/>
      <c r="R33" s="51"/>
      <c r="S33" s="51"/>
      <c r="T33" s="61"/>
      <c r="V33" s="51" t="e">
        <f t="shared" si="0"/>
        <v>#DIV/0!</v>
      </c>
      <c r="W33" s="60" t="e">
        <f t="shared" si="1"/>
        <v>#DIV/0!</v>
      </c>
      <c r="X33" s="51"/>
      <c r="Y33" s="59"/>
      <c r="Z33" s="52"/>
      <c r="AA33" s="51"/>
      <c r="AB33" s="51"/>
      <c r="AC33" s="61"/>
      <c r="AE33" s="59"/>
      <c r="AF33" s="52"/>
      <c r="AG33" s="51"/>
      <c r="AH33" s="51"/>
      <c r="AI33" s="61"/>
      <c r="AK33" s="59"/>
      <c r="AL33" s="52"/>
      <c r="AM33" s="51"/>
      <c r="AN33" s="51"/>
      <c r="AO33" s="61"/>
      <c r="AQ33" s="59"/>
      <c r="AR33" s="52"/>
      <c r="AS33" s="51"/>
      <c r="AT33" s="51"/>
      <c r="AU33" s="61"/>
      <c r="AW33" s="59"/>
      <c r="AX33" s="52"/>
      <c r="AY33" s="51"/>
      <c r="AZ33" s="51"/>
      <c r="BA33" s="61"/>
      <c r="BC33" s="59"/>
      <c r="BD33" s="52"/>
      <c r="BE33" s="51"/>
      <c r="BF33" s="51"/>
      <c r="BG33" s="61"/>
      <c r="BI33" s="59"/>
      <c r="BJ33" s="52"/>
      <c r="BK33" s="51"/>
      <c r="BL33" s="51"/>
      <c r="BM33" s="61"/>
      <c r="BW33" s="59"/>
      <c r="BX33" s="52"/>
      <c r="BY33" s="51"/>
      <c r="BZ33" s="51"/>
      <c r="CA33" s="61"/>
      <c r="CE33" s="59"/>
      <c r="CF33" s="52"/>
      <c r="CG33" s="51"/>
      <c r="CH33" s="51"/>
      <c r="CI33" s="61"/>
      <c r="CJ33" s="59"/>
      <c r="CK33" s="52"/>
      <c r="CL33" s="51"/>
      <c r="CM33" s="51"/>
      <c r="CN33" s="61"/>
      <c r="CO33" s="59"/>
      <c r="CP33" s="52"/>
      <c r="CQ33" s="51"/>
      <c r="CR33" s="51"/>
      <c r="CS33" s="61"/>
      <c r="CT33" s="59"/>
      <c r="CU33" s="52"/>
      <c r="CV33" s="51"/>
      <c r="CW33" s="51"/>
      <c r="CX33" s="61"/>
      <c r="CY33" s="59"/>
      <c r="CZ33" s="52"/>
      <c r="DA33" s="51"/>
      <c r="DB33" s="51"/>
      <c r="DC33" s="61"/>
    </row>
    <row r="34" spans="1:107" ht="23.25" x14ac:dyDescent="0.35">
      <c r="A34" s="64"/>
      <c r="B34" s="65"/>
      <c r="C34" s="73"/>
      <c r="D34" s="73"/>
      <c r="E34" s="72"/>
      <c r="F34" s="51"/>
      <c r="G34" s="51"/>
      <c r="H34" s="61"/>
      <c r="J34" s="74"/>
      <c r="K34" s="72"/>
      <c r="L34" s="51"/>
      <c r="M34" s="51"/>
      <c r="N34" s="61"/>
      <c r="O34" s="62"/>
      <c r="P34" s="74"/>
      <c r="Q34" s="72"/>
      <c r="R34" s="51"/>
      <c r="S34" s="51"/>
      <c r="T34" s="61"/>
      <c r="V34" s="51"/>
      <c r="W34" s="72"/>
      <c r="X34" s="51"/>
      <c r="Y34" s="74"/>
      <c r="Z34" s="72"/>
      <c r="AA34" s="51"/>
      <c r="AB34" s="51"/>
      <c r="AC34" s="61"/>
      <c r="AE34" s="74"/>
      <c r="AF34" s="72"/>
      <c r="AG34" s="51"/>
      <c r="AH34" s="51"/>
      <c r="AI34" s="61"/>
      <c r="AK34" s="74"/>
      <c r="AL34" s="72"/>
      <c r="AM34" s="51"/>
      <c r="AN34" s="51"/>
      <c r="AO34" s="61"/>
      <c r="AQ34" s="74"/>
      <c r="AR34" s="72"/>
      <c r="AS34" s="51"/>
      <c r="AT34" s="51"/>
      <c r="AU34" s="61"/>
      <c r="AW34" s="74"/>
      <c r="AX34" s="72"/>
      <c r="AY34" s="51"/>
      <c r="AZ34" s="51"/>
      <c r="BA34" s="61"/>
      <c r="BC34" s="74"/>
      <c r="BD34" s="72"/>
      <c r="BE34" s="51"/>
      <c r="BF34" s="51"/>
      <c r="BG34" s="61"/>
      <c r="BI34" s="79"/>
      <c r="BJ34" s="72"/>
      <c r="BK34" s="51"/>
      <c r="BL34" s="51"/>
      <c r="BM34" s="61"/>
      <c r="BW34" s="74"/>
      <c r="BX34" s="72"/>
      <c r="BY34" s="51"/>
      <c r="BZ34" s="51"/>
      <c r="CA34" s="61"/>
      <c r="CE34" s="74"/>
      <c r="CF34" s="72"/>
      <c r="CG34" s="51"/>
      <c r="CH34" s="51"/>
      <c r="CI34" s="61"/>
      <c r="CJ34" s="116"/>
      <c r="CK34" s="52"/>
      <c r="CL34" s="51"/>
      <c r="CM34" s="51"/>
      <c r="CN34" s="61"/>
      <c r="CO34" s="116"/>
      <c r="CP34" s="52"/>
      <c r="CQ34" s="51"/>
      <c r="CR34" s="51"/>
      <c r="CS34" s="61"/>
      <c r="CT34" s="116"/>
      <c r="CU34" s="117"/>
      <c r="CV34" s="51"/>
      <c r="CW34" s="51"/>
      <c r="CX34" s="61"/>
      <c r="CY34" s="116"/>
      <c r="CZ34" s="52"/>
      <c r="DA34" s="51"/>
      <c r="DB34" s="51"/>
      <c r="DC34" s="61"/>
    </row>
    <row r="35" spans="1:107" ht="23.25" x14ac:dyDescent="0.35">
      <c r="A35" s="64"/>
      <c r="B35" s="65"/>
      <c r="C35" s="76"/>
      <c r="D35" s="77"/>
      <c r="E35" s="77"/>
      <c r="F35" s="77"/>
      <c r="G35" s="77"/>
      <c r="H35" s="78"/>
      <c r="J35" s="79"/>
      <c r="K35" s="77"/>
      <c r="L35" s="77"/>
      <c r="M35" s="77"/>
      <c r="N35" s="78"/>
      <c r="O35" s="77"/>
      <c r="P35" s="79"/>
      <c r="Q35" s="77"/>
      <c r="R35" s="77"/>
      <c r="S35" s="77"/>
      <c r="T35" s="78"/>
      <c r="V35" s="51"/>
      <c r="W35" s="77"/>
      <c r="X35" s="77"/>
      <c r="Y35" s="79"/>
      <c r="Z35" s="77"/>
      <c r="AA35" s="77"/>
      <c r="AB35" s="77"/>
      <c r="AC35" s="78"/>
      <c r="AE35" s="79"/>
      <c r="AF35" s="77"/>
      <c r="AG35" s="77"/>
      <c r="AH35" s="77"/>
      <c r="AI35" s="78"/>
      <c r="AK35" s="79"/>
      <c r="AL35" s="77"/>
      <c r="AM35" s="77"/>
      <c r="AN35" s="77"/>
      <c r="AO35" s="78"/>
      <c r="AQ35" s="79"/>
      <c r="AR35" s="77"/>
      <c r="AS35" s="77"/>
      <c r="AT35" s="77"/>
      <c r="AU35" s="78"/>
      <c r="AW35" s="79"/>
      <c r="AX35" s="77"/>
      <c r="AY35" s="77"/>
      <c r="AZ35" s="77"/>
      <c r="BA35" s="78"/>
      <c r="BC35" s="79"/>
      <c r="BD35" s="77"/>
      <c r="BE35" s="77"/>
      <c r="BF35" s="77"/>
      <c r="BG35" s="78"/>
      <c r="BJ35" s="77"/>
      <c r="BK35" s="77"/>
      <c r="BL35" s="77"/>
      <c r="BM35" s="78"/>
      <c r="BW35" s="79"/>
      <c r="BX35" s="77"/>
      <c r="BY35" s="77"/>
      <c r="BZ35" s="77"/>
      <c r="CA35" s="78"/>
      <c r="CE35" s="79"/>
      <c r="CF35" s="77"/>
      <c r="CG35" s="77"/>
      <c r="CH35" s="77"/>
      <c r="CI35" s="78"/>
      <c r="CJ35" s="113"/>
      <c r="CK35" s="114"/>
      <c r="CL35" s="115"/>
      <c r="CM35" s="115"/>
      <c r="CN35" s="78"/>
      <c r="CO35" s="59"/>
      <c r="CP35" s="52"/>
      <c r="CQ35" s="51"/>
      <c r="CR35" s="51"/>
      <c r="CS35" s="78"/>
      <c r="CT35" s="59"/>
      <c r="CU35" s="52"/>
      <c r="CV35" s="51"/>
      <c r="CW35" s="51"/>
      <c r="CX35" s="78"/>
      <c r="CY35" s="59"/>
      <c r="CZ35" s="52"/>
      <c r="DA35" s="51"/>
      <c r="DB35" s="51"/>
      <c r="DC35" s="78"/>
    </row>
    <row r="36" spans="1:107" ht="23.25" x14ac:dyDescent="0.35">
      <c r="A36" s="64"/>
      <c r="B36" s="65"/>
      <c r="C36" s="76"/>
      <c r="D36" s="77"/>
      <c r="E36" s="77"/>
      <c r="F36" s="77"/>
      <c r="G36" s="77"/>
      <c r="H36" s="78"/>
      <c r="J36" s="79"/>
      <c r="K36" s="77"/>
      <c r="L36" s="77"/>
      <c r="M36" s="77"/>
      <c r="N36" s="78"/>
      <c r="O36" s="77"/>
      <c r="P36" s="79"/>
      <c r="Q36" s="77"/>
      <c r="R36" s="77"/>
      <c r="S36" s="77"/>
      <c r="T36" s="78"/>
      <c r="V36" s="77"/>
      <c r="W36" s="77"/>
      <c r="X36" s="77"/>
      <c r="Y36" s="79"/>
      <c r="Z36" s="77"/>
      <c r="AA36" s="77"/>
      <c r="AB36" s="77"/>
      <c r="AC36" s="78"/>
      <c r="AE36" s="79"/>
      <c r="AF36" s="77"/>
      <c r="AG36" s="77"/>
      <c r="AH36" s="77"/>
      <c r="AI36" s="78"/>
      <c r="AK36" s="79"/>
      <c r="AL36" s="77"/>
      <c r="AM36" s="77"/>
      <c r="AN36" s="77"/>
      <c r="AO36" s="78"/>
      <c r="AQ36" s="79"/>
      <c r="AR36" s="77"/>
      <c r="AS36" s="77"/>
      <c r="AT36" s="77"/>
      <c r="AU36" s="78"/>
      <c r="AW36" s="79"/>
      <c r="AX36" s="77"/>
      <c r="AY36" s="77"/>
      <c r="AZ36" s="77"/>
      <c r="BA36" s="78"/>
      <c r="BC36" s="79"/>
      <c r="BD36" s="77"/>
      <c r="BE36" s="77"/>
      <c r="BF36" s="77"/>
      <c r="BG36" s="78"/>
      <c r="BI36" s="79"/>
      <c r="BJ36" s="77"/>
      <c r="BK36" s="77"/>
      <c r="BL36" s="77"/>
      <c r="BM36" s="78"/>
      <c r="BW36" s="79"/>
      <c r="BX36" s="77"/>
      <c r="BY36" s="77"/>
      <c r="BZ36" s="77"/>
      <c r="CA36" s="78"/>
      <c r="CE36" s="79"/>
      <c r="CF36" s="77"/>
      <c r="CG36" s="77"/>
      <c r="CH36" s="77"/>
      <c r="CI36" s="78"/>
      <c r="CJ36" s="79"/>
      <c r="CK36" s="77"/>
      <c r="CL36" s="77"/>
      <c r="CM36" s="77"/>
      <c r="CN36" s="78"/>
      <c r="CO36" s="79"/>
      <c r="CP36" s="77"/>
      <c r="CQ36" s="77"/>
      <c r="CR36" s="77"/>
      <c r="CS36" s="78"/>
      <c r="CT36" s="79"/>
      <c r="CU36" s="77"/>
      <c r="CV36" s="77"/>
      <c r="CW36" s="77"/>
      <c r="CX36" s="78"/>
      <c r="CY36" s="79"/>
      <c r="CZ36" s="77"/>
      <c r="DA36" s="77"/>
      <c r="DB36" s="77"/>
      <c r="DC36" s="78"/>
    </row>
    <row r="37" spans="1:107" ht="23.25" x14ac:dyDescent="0.35">
      <c r="A37" s="80" t="s">
        <v>19</v>
      </c>
      <c r="B37" s="75"/>
      <c r="C37" s="76"/>
      <c r="D37" s="81">
        <f>COUNT(D15:D35)</f>
        <v>3</v>
      </c>
      <c r="E37" s="81">
        <f>COUNT(E15:E35)</f>
        <v>3</v>
      </c>
      <c r="F37" s="81">
        <f>COUNT(F15:F35)</f>
        <v>3</v>
      </c>
      <c r="G37" s="81">
        <f>COUNT(G15:G35)</f>
        <v>3</v>
      </c>
      <c r="H37" s="53">
        <f>COUNT(H15:H35)</f>
        <v>3</v>
      </c>
      <c r="J37" s="82">
        <f>COUNT(J15:J35)</f>
        <v>3</v>
      </c>
      <c r="K37" s="81">
        <f>COUNT(K15:K35)</f>
        <v>3</v>
      </c>
      <c r="L37" s="81">
        <f>COUNT(L15:L35)</f>
        <v>3</v>
      </c>
      <c r="M37" s="81">
        <f>COUNT(M15:M35)</f>
        <v>3</v>
      </c>
      <c r="N37" s="53">
        <f>COUNT(N15:N35)</f>
        <v>3</v>
      </c>
      <c r="O37" s="51"/>
      <c r="P37" s="82">
        <f>COUNT(P15:P35)</f>
        <v>3</v>
      </c>
      <c r="Q37" s="81">
        <f>COUNT(Q15:Q35)</f>
        <v>3</v>
      </c>
      <c r="R37" s="81">
        <f>COUNT(R15:R35)</f>
        <v>3</v>
      </c>
      <c r="S37" s="81">
        <f>COUNT(S15:S35)</f>
        <v>3</v>
      </c>
      <c r="T37" s="53">
        <f>COUNT(T15:T35)</f>
        <v>3</v>
      </c>
      <c r="V37" s="51"/>
      <c r="W37" s="77"/>
      <c r="X37" s="51"/>
      <c r="Y37" s="82">
        <f>COUNT(Y15:Y35)</f>
        <v>3</v>
      </c>
      <c r="Z37" s="81">
        <f>COUNT(Z15:Z35)</f>
        <v>3</v>
      </c>
      <c r="AA37" s="81">
        <f>COUNT(AA15:AA35)</f>
        <v>3</v>
      </c>
      <c r="AB37" s="81">
        <f>COUNT(AB15:AB35)</f>
        <v>3</v>
      </c>
      <c r="AC37" s="53">
        <f>COUNT(AC15:AC35)</f>
        <v>3</v>
      </c>
      <c r="AE37" s="82">
        <f>COUNT(AE15:AE35)</f>
        <v>3</v>
      </c>
      <c r="AF37" s="81">
        <f>COUNT(AF15:AF35)</f>
        <v>3</v>
      </c>
      <c r="AG37" s="81">
        <f>COUNT(AG15:AG35)</f>
        <v>3</v>
      </c>
      <c r="AH37" s="81">
        <f>COUNT(AH15:AH35)</f>
        <v>3</v>
      </c>
      <c r="AI37" s="53">
        <f>COUNT(AI15:AI35)</f>
        <v>3</v>
      </c>
      <c r="AK37" s="82">
        <f>COUNT(AK15:AK35)</f>
        <v>3</v>
      </c>
      <c r="AL37" s="81">
        <f>COUNT(AL15:AL35)</f>
        <v>3</v>
      </c>
      <c r="AM37" s="81">
        <f>COUNT(AM15:AM35)</f>
        <v>3</v>
      </c>
      <c r="AN37" s="81">
        <f>COUNT(AN15:AN35)</f>
        <v>3</v>
      </c>
      <c r="AO37" s="53">
        <f>COUNT(AO15:AO35)</f>
        <v>3</v>
      </c>
      <c r="AQ37" s="82">
        <f>COUNT(AQ15:AQ35)</f>
        <v>0</v>
      </c>
      <c r="AR37" s="81">
        <f>COUNT(AR15:AR35)</f>
        <v>0</v>
      </c>
      <c r="AS37" s="81">
        <f>COUNT(AS15:AS35)</f>
        <v>0</v>
      </c>
      <c r="AT37" s="81">
        <f>COUNT(AT15:AT35)</f>
        <v>0</v>
      </c>
      <c r="AU37" s="53">
        <f>COUNT(AU15:AU35)</f>
        <v>0</v>
      </c>
      <c r="AW37" s="82">
        <f>COUNT(AW15:AW35)</f>
        <v>0</v>
      </c>
      <c r="AX37" s="81">
        <f>COUNT(AX15:AX35)</f>
        <v>0</v>
      </c>
      <c r="AY37" s="81">
        <f>COUNT(AY15:AY35)</f>
        <v>0</v>
      </c>
      <c r="AZ37" s="81">
        <f>COUNT(AZ15:AZ35)</f>
        <v>0</v>
      </c>
      <c r="BA37" s="53">
        <f>COUNT(BA15:BA35)</f>
        <v>0</v>
      </c>
      <c r="BC37" s="82">
        <f>COUNT(BC15:BC35)</f>
        <v>0</v>
      </c>
      <c r="BD37" s="81">
        <f>COUNT(BD15:BD35)</f>
        <v>0</v>
      </c>
      <c r="BE37" s="81">
        <f>COUNT(BE15:BE35)</f>
        <v>0</v>
      </c>
      <c r="BF37" s="81">
        <f>COUNT(BF15:BF35)</f>
        <v>0</v>
      </c>
      <c r="BG37" s="53">
        <f>COUNT(BG15:BG35)</f>
        <v>0</v>
      </c>
      <c r="BI37" s="82">
        <f>COUNT(BI16:BI34)</f>
        <v>0</v>
      </c>
      <c r="BJ37" s="81">
        <f>COUNT(BJ15:BJ35)</f>
        <v>0</v>
      </c>
      <c r="BK37" s="81">
        <f>COUNT(BK15:BK35)</f>
        <v>0</v>
      </c>
      <c r="BL37" s="81">
        <f>COUNT(BL15:BL35)</f>
        <v>0</v>
      </c>
      <c r="BM37" s="53">
        <f>COUNT(BM15:BM35)</f>
        <v>0</v>
      </c>
      <c r="BW37" s="82">
        <f>COUNT(BW15:BW35)</f>
        <v>0</v>
      </c>
      <c r="BX37" s="81">
        <f>COUNT(BX15:BX35)</f>
        <v>0</v>
      </c>
      <c r="BY37" s="81">
        <f>COUNT(BY15:BY35)</f>
        <v>0</v>
      </c>
      <c r="BZ37" s="81">
        <f>COUNT(BZ15:BZ35)</f>
        <v>0</v>
      </c>
      <c r="CA37" s="53">
        <f>COUNT(CA15:CA35)</f>
        <v>0</v>
      </c>
      <c r="CE37" s="82"/>
      <c r="CF37" s="81"/>
      <c r="CG37" s="81"/>
      <c r="CH37" s="81"/>
      <c r="CI37" s="53"/>
      <c r="CJ37" s="82"/>
      <c r="CK37" s="81"/>
      <c r="CL37" s="81"/>
      <c r="CM37" s="81"/>
      <c r="CN37" s="53"/>
      <c r="CO37" s="82"/>
      <c r="CP37" s="81"/>
      <c r="CQ37" s="81"/>
      <c r="CR37" s="81"/>
      <c r="CS37" s="53"/>
      <c r="CT37" s="82"/>
      <c r="CU37" s="81"/>
      <c r="CV37" s="81"/>
      <c r="CW37" s="81"/>
      <c r="CX37" s="53"/>
      <c r="CY37" s="82"/>
      <c r="CZ37" s="81"/>
      <c r="DA37" s="81"/>
      <c r="DB37" s="81"/>
      <c r="DC37" s="53"/>
    </row>
    <row r="38" spans="1:107" ht="23.25" x14ac:dyDescent="0.35">
      <c r="A38" s="80" t="s">
        <v>20</v>
      </c>
      <c r="B38" s="75"/>
      <c r="C38" s="76"/>
      <c r="D38" s="60">
        <f>AVERAGE(D15:D35)</f>
        <v>3.8866666666666667</v>
      </c>
      <c r="E38" s="52">
        <f>AVERAGE(E15:E35)</f>
        <v>0.17381944444444444</v>
      </c>
      <c r="F38" s="60">
        <f>AVERAGE(F15:F35)</f>
        <v>0.8666666666666667</v>
      </c>
      <c r="G38" s="60">
        <f>AVERAGE(G15:G35)</f>
        <v>2.5333333333333332</v>
      </c>
      <c r="H38" s="83">
        <f>AVERAGE(H15:H35)</f>
        <v>11</v>
      </c>
      <c r="J38" s="67">
        <f>AVERAGE(J15:J35)</f>
        <v>4.1866666666666665</v>
      </c>
      <c r="K38" s="52">
        <f>AVERAGE(K15:K35)</f>
        <v>0.1667939814814815</v>
      </c>
      <c r="L38" s="62">
        <f>AVERAGE(L15:L35)</f>
        <v>0.96666666666666679</v>
      </c>
      <c r="M38" s="62">
        <f>AVERAGE(M15:M35)</f>
        <v>2.6333333333333333</v>
      </c>
      <c r="N38" s="84">
        <f>AVERAGE(N15:N35)</f>
        <v>12.666666666666666</v>
      </c>
      <c r="O38" s="58"/>
      <c r="P38" s="67">
        <f>AVERAGE(P15:P35)</f>
        <v>2.91</v>
      </c>
      <c r="Q38" s="52">
        <f>AVERAGE(Q15:Q35)</f>
        <v>0.12409336419753086</v>
      </c>
      <c r="R38" s="62">
        <f>AVERAGE(R15:R35)</f>
        <v>1</v>
      </c>
      <c r="S38" s="62">
        <f>AVERAGE(S15:S35)</f>
        <v>2.3000000000000003</v>
      </c>
      <c r="T38" s="84">
        <f>AVERAGE(T15:T35)</f>
        <v>8.6666666666666661</v>
      </c>
      <c r="V38" s="85"/>
      <c r="W38" s="77"/>
      <c r="X38" s="81"/>
      <c r="Y38" s="67">
        <f>AVERAGE(Y15:Y35)</f>
        <v>4.45</v>
      </c>
      <c r="Z38" s="52">
        <f>AVERAGE(Z15:Z35)</f>
        <v>0.1822222222222222</v>
      </c>
      <c r="AA38" s="62">
        <f>AVERAGE(AA15:AA35)</f>
        <v>1.0333333333333332</v>
      </c>
      <c r="AB38" s="62">
        <f>AVERAGE(AB15:AB35)</f>
        <v>2.4333333333333336</v>
      </c>
      <c r="AC38" s="84">
        <f>AVERAGE(AC15:AC35)</f>
        <v>13.666666666666666</v>
      </c>
      <c r="AE38" s="67">
        <f>AVERAGE(AE15:AE35)</f>
        <v>4.7300000000000004</v>
      </c>
      <c r="AF38" s="52">
        <f>AVERAGE(AF15:AF35)</f>
        <v>0.17386188271604938</v>
      </c>
      <c r="AG38" s="62">
        <f>AVERAGE(AG15:AG35)</f>
        <v>1.1666666666666667</v>
      </c>
      <c r="AH38" s="62">
        <f>AVERAGE(AH15:AH35)</f>
        <v>2.6</v>
      </c>
      <c r="AI38" s="84">
        <f>AVERAGE(AI15:AI35)</f>
        <v>15.333333333333334</v>
      </c>
      <c r="AK38" s="67">
        <f>AVERAGE(AK15:AK35)</f>
        <v>5.0799999999999992</v>
      </c>
      <c r="AL38" s="52">
        <f>AVERAGE(AL15:AL35)</f>
        <v>0.17084104938271605</v>
      </c>
      <c r="AM38" s="62">
        <f>AVERAGE(AM15:AM35)</f>
        <v>1.2666666666666666</v>
      </c>
      <c r="AN38" s="62">
        <f>AVERAGE(AN15:AN35)</f>
        <v>3.2333333333333329</v>
      </c>
      <c r="AO38" s="84">
        <f>AVERAGE(AO15:AO35)</f>
        <v>16.666666666666668</v>
      </c>
      <c r="AQ38" s="67" t="e">
        <f>AVERAGE(AQ15:AQ35)</f>
        <v>#DIV/0!</v>
      </c>
      <c r="AR38" s="52" t="e">
        <f>AVERAGE(AR15:AR35)</f>
        <v>#DIV/0!</v>
      </c>
      <c r="AS38" s="62" t="e">
        <f>AVERAGE(AS15:AS35)</f>
        <v>#DIV/0!</v>
      </c>
      <c r="AT38" s="62" t="e">
        <f>AVERAGE(AT15:AT35)</f>
        <v>#DIV/0!</v>
      </c>
      <c r="AU38" s="84" t="e">
        <f>AVERAGE(AU15:AU35)</f>
        <v>#DIV/0!</v>
      </c>
      <c r="AW38" s="67" t="e">
        <f>AVERAGE(AW15:AW35)</f>
        <v>#DIV/0!</v>
      </c>
      <c r="AX38" s="52" t="e">
        <f>AVERAGE(AX15:AX35)</f>
        <v>#DIV/0!</v>
      </c>
      <c r="AY38" s="62" t="e">
        <f>AVERAGE(AY15:AY35)</f>
        <v>#DIV/0!</v>
      </c>
      <c r="AZ38" s="62" t="e">
        <f>AVERAGE(AZ15:AZ35)</f>
        <v>#DIV/0!</v>
      </c>
      <c r="BA38" s="84" t="e">
        <f>AVERAGE(BA15:BA35)</f>
        <v>#DIV/0!</v>
      </c>
      <c r="BC38" s="67" t="e">
        <f>AVERAGE(BC15:BC35)</f>
        <v>#DIV/0!</v>
      </c>
      <c r="BD38" s="52" t="e">
        <f>AVERAGE(BD15:BD35)</f>
        <v>#DIV/0!</v>
      </c>
      <c r="BE38" s="62" t="e">
        <f>AVERAGE(BE15:BE35)</f>
        <v>#DIV/0!</v>
      </c>
      <c r="BF38" s="62" t="e">
        <f>AVERAGE(BF15:BF35)</f>
        <v>#DIV/0!</v>
      </c>
      <c r="BG38" s="84" t="e">
        <f>AVERAGE(BG15:BG35)</f>
        <v>#DIV/0!</v>
      </c>
      <c r="BI38" s="67" t="e">
        <f>AVERAGE(BI16:BI34)</f>
        <v>#DIV/0!</v>
      </c>
      <c r="BJ38" s="52" t="e">
        <f>AVERAGE(BJ15:BJ35)</f>
        <v>#DIV/0!</v>
      </c>
      <c r="BK38" s="62" t="e">
        <f>AVERAGE(BK15:BK35)</f>
        <v>#DIV/0!</v>
      </c>
      <c r="BL38" s="62" t="e">
        <f>AVERAGE(BL15:BL35)</f>
        <v>#DIV/0!</v>
      </c>
      <c r="BM38" s="84" t="e">
        <f>AVERAGE(BM15:BM35)</f>
        <v>#DIV/0!</v>
      </c>
      <c r="BW38" s="67" t="e">
        <f>AVERAGE(BW15:BW35)</f>
        <v>#DIV/0!</v>
      </c>
      <c r="BX38" s="52" t="e">
        <f>AVERAGE(BX15:BX35)</f>
        <v>#DIV/0!</v>
      </c>
      <c r="BY38" s="62" t="e">
        <f>AVERAGE(BY15:BY35)</f>
        <v>#DIV/0!</v>
      </c>
      <c r="BZ38" s="62" t="e">
        <f>AVERAGE(BZ15:BZ35)</f>
        <v>#DIV/0!</v>
      </c>
      <c r="CA38" s="84" t="e">
        <f>AVERAGE(CA15:CA35)</f>
        <v>#DIV/0!</v>
      </c>
      <c r="CE38" s="67"/>
      <c r="CF38" s="52"/>
      <c r="CG38" s="62"/>
      <c r="CH38" s="62"/>
      <c r="CI38" s="84"/>
      <c r="CJ38" s="67"/>
      <c r="CK38" s="52"/>
      <c r="CL38" s="62"/>
      <c r="CM38" s="62"/>
      <c r="CN38" s="84"/>
      <c r="CO38" s="67"/>
      <c r="CP38" s="52"/>
      <c r="CQ38" s="62"/>
      <c r="CR38" s="62"/>
      <c r="CS38" s="84"/>
      <c r="CT38" s="67"/>
      <c r="CU38" s="52"/>
      <c r="CV38" s="62"/>
      <c r="CW38" s="62"/>
      <c r="CX38" s="84"/>
      <c r="CY38" s="67"/>
      <c r="CZ38" s="52"/>
      <c r="DA38" s="62"/>
      <c r="DB38" s="62"/>
      <c r="DC38" s="84"/>
    </row>
    <row r="39" spans="1:107" ht="23.25" x14ac:dyDescent="0.35">
      <c r="A39" s="80" t="s">
        <v>21</v>
      </c>
      <c r="B39" s="75"/>
      <c r="C39" s="76"/>
      <c r="D39" s="60">
        <f>STDEV(D15:D35)</f>
        <v>2.3566148037669055</v>
      </c>
      <c r="E39" s="60">
        <f>STDEV(E15:E35)</f>
        <v>9.2971295144756105E-2</v>
      </c>
      <c r="F39" s="60">
        <f>STDEV(F15:F35)</f>
        <v>5.7735026918962561E-2</v>
      </c>
      <c r="G39" s="60">
        <f>STDEV(G15:G35)</f>
        <v>0.40414518843273883</v>
      </c>
      <c r="H39" s="83">
        <f>STDEV(H15:H35)</f>
        <v>7.810249675906654</v>
      </c>
      <c r="J39" s="67">
        <f>STDEV(J15:J35)</f>
        <v>2.474920874156048</v>
      </c>
      <c r="K39" s="62">
        <f>STDEV(K15:K35)</f>
        <v>8.5111871348857365E-2</v>
      </c>
      <c r="L39" s="62">
        <f>STDEV(L15:L35)</f>
        <v>0.20816659994661249</v>
      </c>
      <c r="M39" s="62">
        <f>STDEV(M15:M35)</f>
        <v>0.65064070986477018</v>
      </c>
      <c r="N39" s="84">
        <f>STDEV(N15:N35)</f>
        <v>8.5049005481153834</v>
      </c>
      <c r="O39" s="58"/>
      <c r="P39" s="67">
        <f>STDEV(P15:P35)</f>
        <v>1.5524174696260018</v>
      </c>
      <c r="Q39" s="62">
        <f>STDEV(Q15:Q35)</f>
        <v>7.7979642152702214E-2</v>
      </c>
      <c r="R39" s="62">
        <f>STDEV(R15:R35)</f>
        <v>0.10000000000000003</v>
      </c>
      <c r="S39" s="62">
        <f>STDEV(S15:S35)</f>
        <v>0.26457513110645903</v>
      </c>
      <c r="T39" s="84">
        <f>STDEV(T15:T35)</f>
        <v>4.5092497528228934</v>
      </c>
      <c r="V39" s="77"/>
      <c r="W39" s="77"/>
      <c r="X39" s="81"/>
      <c r="Y39" s="67">
        <f>STDEV(Y15:Y35)</f>
        <v>1.2085942247090222</v>
      </c>
      <c r="Z39" s="62">
        <f>STDEV(Z15:Z35)</f>
        <v>7.6288135891860273E-2</v>
      </c>
      <c r="AA39" s="62">
        <f>STDEV(AA15:AA35)</f>
        <v>0.2081665999466146</v>
      </c>
      <c r="AB39" s="62">
        <f>STDEV(AB15:AB35)</f>
        <v>0.4725815626252583</v>
      </c>
      <c r="AC39" s="84">
        <f>STDEV(AC15:AC35)</f>
        <v>3.2145502536643153</v>
      </c>
      <c r="AE39" s="67">
        <f>STDEV(AE15:AE35)</f>
        <v>2.186252501427957</v>
      </c>
      <c r="AF39" s="62">
        <f>STDEV(AF15:AF35)</f>
        <v>0.10204111750799263</v>
      </c>
      <c r="AG39" s="62">
        <f>STDEV(AG15:AG35)</f>
        <v>0.23094010767585105</v>
      </c>
      <c r="AH39" s="62">
        <f>STDEV(AH15:AH35)</f>
        <v>0.19999999999999996</v>
      </c>
      <c r="AI39" s="84">
        <f>STDEV(AI15:AI35)</f>
        <v>6.4291005073286351</v>
      </c>
      <c r="AK39" s="67">
        <f>STDEV(AK15:AK35)</f>
        <v>0.91307173869308567</v>
      </c>
      <c r="AL39" s="62">
        <f>STDEV(AL15:AL35)</f>
        <v>6.3667804636314676E-2</v>
      </c>
      <c r="AM39" s="62">
        <f>STDEV(AM15:AM35)</f>
        <v>0.23094010767585008</v>
      </c>
      <c r="AN39" s="62">
        <f>STDEV(AN15:AN35)</f>
        <v>0.20816659994661321</v>
      </c>
      <c r="AO39" s="84">
        <f>STDEV(AO15:AO35)</f>
        <v>2.5166114784235796</v>
      </c>
      <c r="AQ39" s="67" t="e">
        <f>STDEV(AQ15:AQ35)</f>
        <v>#DIV/0!</v>
      </c>
      <c r="AR39" s="62" t="e">
        <f>STDEV(AR15:AR35)</f>
        <v>#DIV/0!</v>
      </c>
      <c r="AS39" s="62" t="e">
        <f>STDEV(AS15:AS35)</f>
        <v>#DIV/0!</v>
      </c>
      <c r="AT39" s="62" t="e">
        <f>STDEV(AT15:AT35)</f>
        <v>#DIV/0!</v>
      </c>
      <c r="AU39" s="84" t="e">
        <f>STDEV(AU15:AU35)</f>
        <v>#DIV/0!</v>
      </c>
      <c r="AW39" s="67" t="e">
        <f>STDEV(AW15:AW35)</f>
        <v>#DIV/0!</v>
      </c>
      <c r="AX39" s="62" t="e">
        <f>STDEV(AX15:AX35)</f>
        <v>#DIV/0!</v>
      </c>
      <c r="AY39" s="62" t="e">
        <f>STDEV(AY15:AY35)</f>
        <v>#DIV/0!</v>
      </c>
      <c r="AZ39" s="62" t="e">
        <f>STDEV(AZ15:AZ35)</f>
        <v>#DIV/0!</v>
      </c>
      <c r="BA39" s="84" t="e">
        <f>STDEV(BA15:BA35)</f>
        <v>#DIV/0!</v>
      </c>
      <c r="BC39" s="67" t="e">
        <f>STDEV(BC15:BC35)</f>
        <v>#DIV/0!</v>
      </c>
      <c r="BD39" s="62" t="e">
        <f>STDEV(BD15:BD35)</f>
        <v>#DIV/0!</v>
      </c>
      <c r="BE39" s="62" t="e">
        <f>STDEV(BE15:BE35)</f>
        <v>#DIV/0!</v>
      </c>
      <c r="BF39" s="62" t="e">
        <f>STDEV(BF15:BF35)</f>
        <v>#DIV/0!</v>
      </c>
      <c r="BG39" s="84" t="e">
        <f>STDEV(BG15:BG35)</f>
        <v>#DIV/0!</v>
      </c>
      <c r="BI39" s="67" t="e">
        <f>STDEV(BI16:BI34)</f>
        <v>#DIV/0!</v>
      </c>
      <c r="BJ39" s="62" t="e">
        <f>STDEV(BJ15:BJ35)</f>
        <v>#DIV/0!</v>
      </c>
      <c r="BK39" s="62" t="e">
        <f>STDEV(BK15:BK35)</f>
        <v>#DIV/0!</v>
      </c>
      <c r="BL39" s="62" t="e">
        <f>STDEV(BL15:BL35)</f>
        <v>#DIV/0!</v>
      </c>
      <c r="BM39" s="84" t="e">
        <f>STDEV(BM15:BM35)</f>
        <v>#DIV/0!</v>
      </c>
      <c r="BW39" s="67" t="e">
        <f>STDEV(BW15:BW35)</f>
        <v>#DIV/0!</v>
      </c>
      <c r="BX39" s="62" t="e">
        <f>STDEV(BX15:BX35)</f>
        <v>#DIV/0!</v>
      </c>
      <c r="BY39" s="62" t="e">
        <f>STDEV(BY15:BY35)</f>
        <v>#DIV/0!</v>
      </c>
      <c r="BZ39" s="62" t="e">
        <f>STDEV(BZ15:BZ35)</f>
        <v>#DIV/0!</v>
      </c>
      <c r="CA39" s="84" t="e">
        <f>STDEV(CA15:CA35)</f>
        <v>#DIV/0!</v>
      </c>
      <c r="CE39" s="67"/>
      <c r="CF39" s="62"/>
      <c r="CG39" s="62"/>
      <c r="CH39" s="62"/>
      <c r="CI39" s="84"/>
      <c r="CJ39" s="67"/>
      <c r="CK39" s="62"/>
      <c r="CL39" s="62"/>
      <c r="CM39" s="62"/>
      <c r="CN39" s="84"/>
      <c r="CO39" s="67"/>
      <c r="CP39" s="62"/>
      <c r="CQ39" s="62"/>
      <c r="CR39" s="62"/>
      <c r="CS39" s="84"/>
      <c r="CT39" s="67"/>
      <c r="CU39" s="62"/>
      <c r="CV39" s="62"/>
      <c r="CW39" s="62"/>
      <c r="CX39" s="84"/>
      <c r="CY39" s="67"/>
      <c r="CZ39" s="62"/>
      <c r="DA39" s="62"/>
      <c r="DB39" s="62"/>
      <c r="DC39" s="84"/>
    </row>
    <row r="40" spans="1:107" ht="23.25" x14ac:dyDescent="0.35">
      <c r="A40" s="80" t="s">
        <v>22</v>
      </c>
      <c r="B40" s="75"/>
      <c r="C40" s="76"/>
      <c r="D40" s="77"/>
      <c r="E40" s="77"/>
      <c r="F40" s="81"/>
      <c r="G40" s="58"/>
      <c r="H40" s="66"/>
      <c r="J40" s="79"/>
      <c r="K40" s="77"/>
      <c r="L40" s="81"/>
      <c r="M40" s="58"/>
      <c r="N40" s="66"/>
      <c r="O40" s="58"/>
      <c r="P40" s="79"/>
      <c r="Q40" s="77"/>
      <c r="R40" s="81"/>
      <c r="S40" s="58"/>
      <c r="T40" s="66"/>
      <c r="V40" s="77"/>
      <c r="W40" s="77"/>
      <c r="X40" s="81"/>
      <c r="Y40" s="79"/>
      <c r="Z40" s="77"/>
      <c r="AA40" s="81"/>
      <c r="AB40" s="58"/>
      <c r="AC40" s="66"/>
      <c r="AE40" s="79"/>
      <c r="AF40" s="77"/>
      <c r="AG40" s="81"/>
      <c r="AH40" s="58"/>
      <c r="AI40" s="66"/>
      <c r="AK40" s="79"/>
      <c r="AL40" s="77"/>
      <c r="AM40" s="81"/>
      <c r="AN40" s="58"/>
      <c r="AO40" s="66"/>
      <c r="AQ40" s="79"/>
      <c r="AR40" s="77"/>
      <c r="AS40" s="81"/>
      <c r="AT40" s="58"/>
      <c r="AU40" s="66"/>
      <c r="AW40" s="79"/>
      <c r="AX40" s="77"/>
      <c r="AY40" s="81"/>
      <c r="AZ40" s="58"/>
      <c r="BA40" s="66"/>
      <c r="BC40" s="79"/>
      <c r="BD40" s="77"/>
      <c r="BE40" s="81"/>
      <c r="BF40" s="58"/>
      <c r="BG40" s="66"/>
      <c r="BI40" s="79"/>
      <c r="BJ40" s="77"/>
      <c r="BK40" s="81"/>
      <c r="BL40" s="58"/>
      <c r="BM40" s="66"/>
      <c r="BW40" s="79"/>
      <c r="BX40" s="77"/>
      <c r="BY40" s="81"/>
      <c r="BZ40" s="58"/>
      <c r="CA40" s="66"/>
      <c r="CE40" s="79"/>
      <c r="CF40" s="77"/>
      <c r="CG40" s="81"/>
      <c r="CH40" s="58"/>
      <c r="CI40" s="66"/>
      <c r="CJ40" s="79"/>
      <c r="CK40" s="77"/>
      <c r="CL40" s="81"/>
      <c r="CM40" s="58"/>
      <c r="CN40" s="66"/>
      <c r="CO40" s="79"/>
      <c r="CP40" s="77"/>
      <c r="CQ40" s="81"/>
      <c r="CR40" s="58"/>
      <c r="CS40" s="66"/>
      <c r="CT40" s="79"/>
      <c r="CU40" s="77"/>
      <c r="CV40" s="81"/>
      <c r="CW40" s="58"/>
      <c r="CX40" s="66"/>
      <c r="CY40" s="79"/>
      <c r="CZ40" s="77"/>
      <c r="DA40" s="81"/>
      <c r="DB40" s="58"/>
      <c r="DC40" s="66"/>
    </row>
    <row r="41" spans="1:107" ht="16.5" thickBot="1" x14ac:dyDescent="0.3">
      <c r="A41" s="86"/>
      <c r="B41" s="87"/>
      <c r="C41" s="87"/>
      <c r="D41" s="87"/>
      <c r="E41" s="87"/>
      <c r="F41" s="87"/>
      <c r="G41" s="87"/>
      <c r="H41" s="88"/>
      <c r="J41" s="86"/>
      <c r="K41" s="87"/>
      <c r="L41" s="87"/>
      <c r="M41" s="87"/>
      <c r="N41" s="88"/>
      <c r="P41" s="86"/>
      <c r="Q41" s="87"/>
      <c r="R41" s="87"/>
      <c r="S41" s="87"/>
      <c r="T41" s="88"/>
      <c r="Y41" s="86"/>
      <c r="Z41" s="87"/>
      <c r="AA41" s="87"/>
      <c r="AB41" s="87"/>
      <c r="AC41" s="88"/>
      <c r="AE41" s="86"/>
      <c r="AF41" s="87"/>
      <c r="AG41" s="87"/>
      <c r="AH41" s="87"/>
      <c r="AI41" s="88"/>
      <c r="AK41" s="86"/>
      <c r="AL41" s="87"/>
      <c r="AM41" s="87"/>
      <c r="AN41" s="87"/>
      <c r="AO41" s="88"/>
      <c r="AQ41" s="86"/>
      <c r="AR41" s="87"/>
      <c r="AS41" s="87"/>
      <c r="AT41" s="87"/>
      <c r="AU41" s="88"/>
      <c r="AW41" s="86"/>
      <c r="AX41" s="87"/>
      <c r="AY41" s="87"/>
      <c r="AZ41" s="87"/>
      <c r="BA41" s="88"/>
      <c r="BC41" s="86"/>
      <c r="BD41" s="87"/>
      <c r="BE41" s="87"/>
      <c r="BF41" s="87"/>
      <c r="BG41" s="88"/>
      <c r="BI41" s="86"/>
      <c r="BJ41" s="87"/>
      <c r="BK41" s="87"/>
      <c r="BL41" s="87"/>
      <c r="BM41" s="88"/>
      <c r="BW41" s="86"/>
      <c r="BX41" s="87"/>
      <c r="BY41" s="87"/>
      <c r="BZ41" s="87"/>
      <c r="CA41" s="88"/>
      <c r="CE41" s="86"/>
      <c r="CF41" s="87"/>
      <c r="CG41" s="87"/>
      <c r="CH41" s="87"/>
      <c r="CI41" s="88"/>
      <c r="CJ41" s="86"/>
      <c r="CK41" s="87"/>
      <c r="CL41" s="87"/>
      <c r="CM41" s="87"/>
      <c r="CN41" s="88"/>
      <c r="CO41" s="86"/>
      <c r="CP41" s="87"/>
      <c r="CQ41" s="87"/>
      <c r="CR41" s="87"/>
      <c r="CS41" s="88"/>
      <c r="CT41" s="86"/>
      <c r="CU41" s="87"/>
      <c r="CV41" s="87"/>
      <c r="CW41" s="87"/>
      <c r="CX41" s="88"/>
      <c r="CY41" s="86"/>
      <c r="CZ41" s="87"/>
      <c r="DA41" s="87"/>
      <c r="DB41" s="87"/>
      <c r="DC41" s="88"/>
    </row>
    <row r="42" spans="1:107" ht="23.1" customHeight="1" thickBot="1" x14ac:dyDescent="0.3">
      <c r="N42" s="89"/>
    </row>
    <row r="43" spans="1:107" ht="24" customHeight="1" x14ac:dyDescent="0.25">
      <c r="A43" s="37"/>
      <c r="B43" s="38"/>
      <c r="C43" s="38"/>
      <c r="D43" s="38"/>
      <c r="E43" s="124"/>
      <c r="F43" s="38"/>
      <c r="G43" s="38"/>
      <c r="H43" s="39"/>
      <c r="J43" s="120"/>
      <c r="K43" s="38"/>
      <c r="L43" s="38"/>
      <c r="M43" s="38"/>
      <c r="N43" s="39"/>
      <c r="P43" s="120"/>
      <c r="Q43" s="38"/>
      <c r="R43" s="38"/>
      <c r="S43" s="38"/>
      <c r="T43" s="39"/>
      <c r="V43" s="126" t="s">
        <v>13</v>
      </c>
      <c r="W43" s="126" t="s">
        <v>14</v>
      </c>
    </row>
    <row r="44" spans="1:107" ht="24" customHeight="1" thickBot="1" x14ac:dyDescent="0.3">
      <c r="A44" s="41"/>
      <c r="B44" s="42"/>
      <c r="C44" s="42"/>
      <c r="D44" s="42"/>
      <c r="E44" s="125"/>
      <c r="F44" s="42"/>
      <c r="G44" s="42"/>
      <c r="H44" s="43"/>
      <c r="J44" s="121"/>
      <c r="K44" s="42"/>
      <c r="L44" s="42"/>
      <c r="M44" s="42"/>
      <c r="N44" s="43"/>
      <c r="P44" s="121"/>
      <c r="Q44" s="42"/>
      <c r="R44" s="42"/>
      <c r="S44" s="42"/>
      <c r="T44" s="43"/>
      <c r="V44" s="127"/>
      <c r="W44" s="127"/>
    </row>
    <row r="45" spans="1:107" ht="24" customHeight="1" thickBot="1" x14ac:dyDescent="0.4">
      <c r="A45" s="90"/>
      <c r="B45" s="91"/>
      <c r="C45" s="91"/>
      <c r="D45" s="91"/>
      <c r="E45" s="91"/>
      <c r="F45" s="91"/>
      <c r="G45" s="92"/>
      <c r="H45" s="93"/>
      <c r="J45" s="94"/>
      <c r="K45" s="95"/>
      <c r="L45" s="95"/>
      <c r="M45" s="96"/>
      <c r="N45" s="97"/>
      <c r="P45" s="90"/>
      <c r="Q45" s="91"/>
      <c r="R45" s="91"/>
      <c r="S45" s="92"/>
      <c r="T45" s="93"/>
    </row>
    <row r="46" spans="1:107" ht="24" customHeight="1" x14ac:dyDescent="0.35">
      <c r="A46" s="64"/>
      <c r="B46" s="49"/>
      <c r="C46" s="63"/>
      <c r="D46" s="51"/>
      <c r="E46" s="52"/>
      <c r="F46" s="51"/>
      <c r="G46" s="51"/>
      <c r="H46" s="53"/>
      <c r="J46" s="59"/>
      <c r="K46" s="52"/>
      <c r="L46" s="51"/>
      <c r="M46" s="51"/>
      <c r="N46" s="61"/>
      <c r="P46" s="59"/>
      <c r="Q46" s="52"/>
      <c r="R46" s="51"/>
      <c r="S46" s="51"/>
      <c r="T46" s="61"/>
      <c r="V46" s="62"/>
    </row>
    <row r="47" spans="1:107" ht="24" customHeight="1" x14ac:dyDescent="0.35">
      <c r="A47" s="64"/>
      <c r="B47" s="49"/>
      <c r="C47" s="63"/>
      <c r="D47" s="51"/>
      <c r="E47" s="52"/>
      <c r="F47" s="51"/>
      <c r="G47" s="51"/>
      <c r="H47" s="53"/>
      <c r="J47" s="59"/>
      <c r="K47" s="52"/>
      <c r="L47" s="51"/>
      <c r="M47" s="51"/>
      <c r="N47" s="61"/>
      <c r="P47" s="59"/>
      <c r="Q47" s="52"/>
      <c r="R47" s="51"/>
      <c r="S47" s="51"/>
      <c r="T47" s="61"/>
      <c r="V47" s="62"/>
    </row>
    <row r="48" spans="1:107" ht="24" customHeight="1" x14ac:dyDescent="0.35">
      <c r="A48" s="64"/>
      <c r="B48" s="49"/>
      <c r="C48" s="63"/>
      <c r="D48" s="51"/>
      <c r="E48" s="52"/>
      <c r="F48" s="51"/>
      <c r="G48" s="51"/>
      <c r="H48" s="53"/>
      <c r="J48" s="59"/>
      <c r="K48" s="52"/>
      <c r="L48" s="51"/>
      <c r="M48" s="51"/>
      <c r="N48" s="61"/>
      <c r="P48" s="59"/>
      <c r="Q48" s="52"/>
      <c r="R48" s="51"/>
      <c r="S48" s="51"/>
      <c r="T48" s="61"/>
      <c r="V48" s="62"/>
    </row>
    <row r="49" spans="1:22" ht="24" customHeight="1" x14ac:dyDescent="0.35">
      <c r="A49" s="48"/>
      <c r="B49" s="49"/>
      <c r="C49" s="50"/>
      <c r="D49" s="51"/>
      <c r="E49" s="52"/>
      <c r="F49" s="51"/>
      <c r="G49" s="51"/>
      <c r="H49" s="53"/>
      <c r="J49" s="59"/>
      <c r="K49" s="51"/>
      <c r="L49" s="51"/>
      <c r="M49" s="51"/>
      <c r="N49" s="61"/>
      <c r="P49" s="98"/>
      <c r="T49" s="89"/>
      <c r="V49" s="62"/>
    </row>
    <row r="50" spans="1:22" ht="24" customHeight="1" x14ac:dyDescent="0.35">
      <c r="A50" s="48"/>
      <c r="B50" s="49"/>
      <c r="C50" s="50"/>
      <c r="D50" s="51"/>
      <c r="E50" s="52"/>
      <c r="F50" s="51"/>
      <c r="G50" s="51"/>
      <c r="H50" s="53"/>
      <c r="J50" s="98"/>
      <c r="N50" s="89"/>
      <c r="P50" s="98"/>
      <c r="T50" s="89"/>
      <c r="V50" s="62"/>
    </row>
    <row r="51" spans="1:22" ht="24" customHeight="1" x14ac:dyDescent="0.35">
      <c r="A51" s="48"/>
      <c r="B51" s="49"/>
      <c r="C51" s="50"/>
      <c r="D51" s="51"/>
      <c r="E51" s="52"/>
      <c r="F51" s="51"/>
      <c r="G51" s="51"/>
      <c r="H51" s="53"/>
      <c r="J51" s="98"/>
      <c r="N51" s="89"/>
      <c r="P51" s="98"/>
      <c r="T51" s="89"/>
      <c r="V51" s="62"/>
    </row>
    <row r="52" spans="1:22" ht="24" customHeight="1" x14ac:dyDescent="0.35">
      <c r="A52" s="48"/>
      <c r="B52" s="49"/>
      <c r="C52" s="50"/>
      <c r="D52" s="51"/>
      <c r="E52" s="52"/>
      <c r="F52" s="51"/>
      <c r="G52" s="51"/>
      <c r="H52" s="53"/>
      <c r="J52" s="98"/>
      <c r="N52" s="89"/>
      <c r="P52" s="98"/>
      <c r="T52" s="89"/>
      <c r="V52" s="62"/>
    </row>
    <row r="53" spans="1:22" ht="24" customHeight="1" x14ac:dyDescent="0.35">
      <c r="A53" s="48"/>
      <c r="B53" s="49"/>
      <c r="C53" s="50"/>
      <c r="D53" s="51"/>
      <c r="E53" s="52"/>
      <c r="F53" s="51"/>
      <c r="G53" s="51"/>
      <c r="H53" s="53"/>
      <c r="J53" s="98"/>
      <c r="N53" s="89"/>
      <c r="P53" s="98"/>
      <c r="T53" s="89"/>
      <c r="V53" s="62"/>
    </row>
    <row r="54" spans="1:22" ht="24" customHeight="1" x14ac:dyDescent="0.35">
      <c r="A54" s="48"/>
      <c r="B54" s="49"/>
      <c r="C54" s="50"/>
      <c r="D54" s="51"/>
      <c r="E54" s="52"/>
      <c r="F54" s="51"/>
      <c r="G54" s="51"/>
      <c r="H54" s="53"/>
      <c r="J54" s="98"/>
      <c r="N54" s="89"/>
      <c r="P54" s="98"/>
      <c r="T54" s="89"/>
      <c r="V54" s="62"/>
    </row>
    <row r="55" spans="1:22" ht="24" customHeight="1" x14ac:dyDescent="0.35">
      <c r="A55" s="48"/>
      <c r="B55" s="49"/>
      <c r="C55" s="50"/>
      <c r="D55" s="51"/>
      <c r="E55" s="52"/>
      <c r="F55" s="51"/>
      <c r="G55" s="51"/>
      <c r="H55" s="53"/>
      <c r="J55" s="98"/>
      <c r="N55" s="89"/>
      <c r="P55" s="98"/>
      <c r="T55" s="89"/>
      <c r="V55" s="62"/>
    </row>
    <row r="56" spans="1:22" ht="24" customHeight="1" x14ac:dyDescent="0.35">
      <c r="A56" s="48"/>
      <c r="B56" s="49"/>
      <c r="C56" s="63"/>
      <c r="D56" s="51"/>
      <c r="E56" s="52"/>
      <c r="F56" s="51"/>
      <c r="G56" s="51"/>
      <c r="H56" s="61"/>
      <c r="J56" s="98"/>
      <c r="N56" s="89"/>
      <c r="P56" s="98"/>
      <c r="T56" s="89"/>
      <c r="V56" s="62"/>
    </row>
    <row r="57" spans="1:22" ht="24" customHeight="1" x14ac:dyDescent="0.35">
      <c r="A57" s="48"/>
      <c r="B57" s="49"/>
      <c r="C57" s="63"/>
      <c r="D57" s="51"/>
      <c r="E57" s="52"/>
      <c r="F57" s="51"/>
      <c r="G57" s="51"/>
      <c r="H57" s="61"/>
      <c r="J57" s="98"/>
      <c r="N57" s="89"/>
      <c r="P57" s="98"/>
      <c r="T57" s="89"/>
      <c r="V57" s="62"/>
    </row>
    <row r="58" spans="1:22" ht="24" customHeight="1" x14ac:dyDescent="0.35">
      <c r="A58" s="48"/>
      <c r="B58" s="49"/>
      <c r="C58" s="63"/>
      <c r="D58" s="51"/>
      <c r="E58" s="52"/>
      <c r="F58" s="51"/>
      <c r="G58" s="51"/>
      <c r="H58" s="61"/>
      <c r="J58" s="98"/>
      <c r="N58" s="89"/>
      <c r="P58" s="98"/>
      <c r="T58" s="89"/>
      <c r="V58" s="62"/>
    </row>
    <row r="59" spans="1:22" ht="24" customHeight="1" x14ac:dyDescent="0.35">
      <c r="A59" s="64"/>
      <c r="B59" s="49"/>
      <c r="C59" s="63"/>
      <c r="D59" s="51"/>
      <c r="E59" s="52"/>
      <c r="F59" s="51"/>
      <c r="G59" s="51"/>
      <c r="H59" s="61"/>
      <c r="J59" s="98"/>
      <c r="N59" s="89"/>
      <c r="P59" s="98"/>
      <c r="T59" s="89"/>
      <c r="V59" s="62"/>
    </row>
    <row r="60" spans="1:22" ht="24" customHeight="1" x14ac:dyDescent="0.35">
      <c r="A60" s="64"/>
      <c r="B60" s="49"/>
      <c r="C60" s="63"/>
      <c r="D60" s="51"/>
      <c r="E60" s="52"/>
      <c r="F60" s="51"/>
      <c r="G60" s="51"/>
      <c r="H60" s="61"/>
      <c r="J60" s="98"/>
      <c r="N60" s="89"/>
      <c r="P60" s="98"/>
      <c r="T60" s="89"/>
      <c r="V60" s="62"/>
    </row>
    <row r="61" spans="1:22" ht="24" customHeight="1" x14ac:dyDescent="0.35">
      <c r="A61" s="48"/>
      <c r="B61" s="49"/>
      <c r="C61" s="63"/>
      <c r="D61" s="51"/>
      <c r="E61" s="52"/>
      <c r="F61" s="51"/>
      <c r="G61" s="51"/>
      <c r="H61" s="61"/>
      <c r="J61" s="98"/>
      <c r="N61" s="89"/>
      <c r="P61" s="98"/>
      <c r="T61" s="89"/>
      <c r="V61" s="62"/>
    </row>
    <row r="62" spans="1:22" ht="24" customHeight="1" x14ac:dyDescent="0.35">
      <c r="A62" s="48"/>
      <c r="B62" s="49"/>
      <c r="C62" s="63"/>
      <c r="D62" s="51"/>
      <c r="E62" s="52"/>
      <c r="F62" s="51"/>
      <c r="G62" s="51"/>
      <c r="H62" s="61"/>
      <c r="J62" s="98"/>
      <c r="N62" s="89"/>
      <c r="P62" s="98"/>
      <c r="T62" s="89"/>
    </row>
    <row r="63" spans="1:22" ht="24" customHeight="1" x14ac:dyDescent="0.35">
      <c r="A63" s="80"/>
      <c r="B63" s="49"/>
      <c r="C63" s="50"/>
      <c r="D63" s="81"/>
      <c r="E63" s="81"/>
      <c r="F63" s="81"/>
      <c r="G63" s="81"/>
      <c r="H63" s="53"/>
      <c r="J63" s="82"/>
      <c r="K63" s="81"/>
      <c r="L63" s="81"/>
      <c r="M63" s="81"/>
      <c r="N63" s="53"/>
      <c r="P63" s="82"/>
      <c r="Q63" s="81"/>
      <c r="R63" s="81"/>
      <c r="S63" s="81"/>
      <c r="T63" s="53"/>
    </row>
    <row r="64" spans="1:22" ht="24" customHeight="1" x14ac:dyDescent="0.35">
      <c r="A64" s="80"/>
      <c r="B64" s="49"/>
      <c r="C64" s="63"/>
      <c r="D64" s="62"/>
      <c r="E64" s="99"/>
      <c r="F64" s="62"/>
      <c r="G64" s="62"/>
      <c r="H64" s="84"/>
      <c r="J64" s="67"/>
      <c r="K64" s="99"/>
      <c r="L64" s="62"/>
      <c r="M64" s="62"/>
      <c r="N64" s="84"/>
      <c r="P64" s="67"/>
      <c r="Q64" s="99"/>
      <c r="R64" s="62"/>
      <c r="S64" s="62"/>
      <c r="T64" s="84"/>
      <c r="V64" s="62"/>
    </row>
    <row r="65" spans="1:26" ht="24" customHeight="1" x14ac:dyDescent="0.35">
      <c r="A65" s="80"/>
      <c r="B65" s="49"/>
      <c r="C65" s="63"/>
      <c r="D65" s="62"/>
      <c r="E65" s="62"/>
      <c r="F65" s="62"/>
      <c r="G65" s="62"/>
      <c r="H65" s="84"/>
      <c r="J65" s="67"/>
      <c r="K65" s="62"/>
      <c r="L65" s="62"/>
      <c r="M65" s="62"/>
      <c r="N65" s="84"/>
      <c r="P65" s="67"/>
      <c r="Q65" s="62"/>
      <c r="R65" s="62"/>
      <c r="S65" s="62"/>
      <c r="T65" s="84"/>
    </row>
    <row r="66" spans="1:26" ht="24" customHeight="1" x14ac:dyDescent="0.35">
      <c r="A66" s="80"/>
      <c r="H66" s="89"/>
      <c r="J66" s="98"/>
      <c r="N66" s="89"/>
      <c r="P66" s="98"/>
      <c r="T66" s="89"/>
    </row>
    <row r="67" spans="1:26" ht="23.1" customHeight="1" thickBot="1" x14ac:dyDescent="0.3">
      <c r="A67" s="86"/>
      <c r="B67" s="87"/>
      <c r="C67" s="87"/>
      <c r="D67" s="87"/>
      <c r="E67" s="87"/>
      <c r="F67" s="87"/>
      <c r="G67" s="87"/>
      <c r="H67" s="88"/>
      <c r="J67" s="86"/>
      <c r="K67" s="87"/>
      <c r="L67" s="87"/>
      <c r="M67" s="87"/>
      <c r="N67" s="88"/>
      <c r="P67" s="86"/>
      <c r="Q67" s="87"/>
      <c r="R67" s="87"/>
      <c r="S67" s="87"/>
      <c r="T67" s="88"/>
    </row>
    <row r="68" spans="1:26" ht="23.25" x14ac:dyDescent="0.25">
      <c r="A68" s="40"/>
      <c r="B68" s="40"/>
      <c r="C68" s="40"/>
      <c r="D68" s="40"/>
      <c r="E68" s="122"/>
      <c r="F68" s="40"/>
      <c r="G68" s="40"/>
      <c r="H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V68" s="40"/>
      <c r="W68" s="122"/>
      <c r="X68" s="40"/>
      <c r="Y68" s="40"/>
      <c r="Z68" s="40"/>
    </row>
    <row r="69" spans="1:26" ht="23.25" x14ac:dyDescent="0.25">
      <c r="A69" s="40"/>
      <c r="B69" s="40"/>
      <c r="C69" s="40"/>
      <c r="D69" s="40"/>
      <c r="E69" s="122"/>
      <c r="F69" s="40"/>
      <c r="G69" s="40"/>
      <c r="H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V69" s="40"/>
      <c r="W69" s="122"/>
      <c r="X69" s="40"/>
      <c r="Y69" s="40"/>
      <c r="Z69" s="40"/>
    </row>
    <row r="70" spans="1:26" ht="23.25" x14ac:dyDescent="0.35">
      <c r="A70" s="7"/>
      <c r="B70" s="7"/>
      <c r="C70" s="7"/>
      <c r="D70" s="7"/>
      <c r="E70" s="7"/>
      <c r="F70" s="7"/>
      <c r="G70" s="6"/>
      <c r="H70" s="6"/>
      <c r="J70" s="7"/>
      <c r="K70" s="7"/>
      <c r="L70" s="7"/>
      <c r="M70" s="6"/>
      <c r="N70" s="6"/>
      <c r="O70" s="7"/>
      <c r="P70" s="7"/>
      <c r="Q70" s="7"/>
      <c r="R70" s="7"/>
      <c r="S70" s="6"/>
      <c r="T70" s="6"/>
      <c r="V70" s="7"/>
      <c r="W70" s="7"/>
      <c r="X70" s="7"/>
      <c r="Y70" s="6"/>
      <c r="Z70" s="6"/>
    </row>
    <row r="71" spans="1:26" ht="23.25" x14ac:dyDescent="0.35">
      <c r="A71" s="49"/>
      <c r="B71" s="49"/>
      <c r="C71" s="50"/>
      <c r="D71" s="51"/>
      <c r="E71" s="101"/>
      <c r="F71" s="51"/>
      <c r="G71" s="51"/>
      <c r="H71" s="81"/>
      <c r="J71" s="51"/>
      <c r="K71" s="52"/>
      <c r="L71" s="51"/>
      <c r="M71" s="51"/>
      <c r="N71" s="81"/>
      <c r="O71" s="58"/>
      <c r="P71" s="51"/>
      <c r="Q71" s="52"/>
      <c r="R71" s="51"/>
      <c r="S71" s="51"/>
      <c r="T71" s="81"/>
      <c r="V71" s="51"/>
    </row>
    <row r="72" spans="1:26" ht="23.25" x14ac:dyDescent="0.35">
      <c r="A72" s="49"/>
      <c r="B72" s="49"/>
      <c r="C72" s="50"/>
      <c r="D72" s="51"/>
      <c r="E72" s="52"/>
      <c r="F72" s="51"/>
      <c r="G72" s="51"/>
      <c r="H72" s="81"/>
      <c r="J72" s="51"/>
      <c r="K72" s="52"/>
      <c r="L72" s="51"/>
      <c r="M72" s="51"/>
      <c r="N72" s="81"/>
      <c r="O72" s="62"/>
      <c r="P72" s="51"/>
      <c r="Q72" s="52"/>
      <c r="R72" s="51"/>
      <c r="S72" s="51"/>
      <c r="T72" s="81"/>
      <c r="V72" s="51"/>
    </row>
    <row r="73" spans="1:26" ht="23.25" x14ac:dyDescent="0.35">
      <c r="A73" s="49"/>
      <c r="B73" s="49"/>
      <c r="C73" s="63"/>
      <c r="D73" s="51"/>
      <c r="E73" s="52"/>
      <c r="F73" s="51"/>
      <c r="G73" s="51"/>
      <c r="H73" s="81"/>
      <c r="J73" s="51"/>
      <c r="K73" s="52"/>
      <c r="L73" s="51"/>
      <c r="M73" s="51"/>
      <c r="N73" s="81"/>
      <c r="O73" s="62"/>
      <c r="P73" s="51"/>
      <c r="Q73" s="52"/>
      <c r="R73" s="51"/>
      <c r="S73" s="51"/>
      <c r="T73" s="51"/>
      <c r="V73" s="51"/>
      <c r="W73" s="72"/>
      <c r="X73" s="51"/>
      <c r="Y73" s="51"/>
      <c r="Z73" s="60"/>
    </row>
    <row r="74" spans="1:26" ht="23.25" x14ac:dyDescent="0.35">
      <c r="A74" s="49"/>
      <c r="B74" s="49"/>
      <c r="C74" s="63"/>
      <c r="D74" s="51"/>
      <c r="E74" s="52"/>
      <c r="F74" s="51"/>
      <c r="G74" s="51"/>
      <c r="H74" s="51"/>
      <c r="J74" s="51"/>
      <c r="K74" s="52"/>
      <c r="L74" s="51"/>
      <c r="M74" s="51"/>
      <c r="N74" s="51"/>
      <c r="O74" s="62"/>
      <c r="P74" s="51"/>
      <c r="Q74" s="52"/>
      <c r="R74" s="51"/>
      <c r="S74" s="51"/>
      <c r="T74" s="51"/>
      <c r="V74" s="51"/>
      <c r="W74" s="72"/>
      <c r="X74" s="51"/>
      <c r="Y74" s="51"/>
      <c r="Z74" s="51"/>
    </row>
    <row r="75" spans="1:26" ht="23.25" x14ac:dyDescent="0.35">
      <c r="A75" s="49"/>
      <c r="B75" s="49"/>
      <c r="C75" s="63"/>
      <c r="D75" s="51"/>
      <c r="E75" s="52"/>
      <c r="F75" s="51"/>
      <c r="G75" s="51"/>
      <c r="H75" s="51"/>
      <c r="J75" s="51"/>
      <c r="K75" s="52"/>
      <c r="L75" s="51"/>
      <c r="M75" s="51"/>
      <c r="N75" s="51"/>
      <c r="O75" s="62"/>
      <c r="P75" s="51"/>
      <c r="Q75" s="102"/>
      <c r="R75" s="51"/>
      <c r="S75" s="51"/>
      <c r="T75" s="51"/>
      <c r="V75" s="51"/>
      <c r="W75" s="72"/>
      <c r="X75" s="51"/>
      <c r="Y75" s="51"/>
      <c r="Z75" s="51"/>
    </row>
    <row r="76" spans="1:26" ht="23.25" x14ac:dyDescent="0.35">
      <c r="A76" s="49"/>
      <c r="B76" s="49"/>
      <c r="C76" s="63"/>
      <c r="D76" s="51"/>
      <c r="E76" s="52"/>
      <c r="F76" s="51"/>
      <c r="G76" s="51"/>
      <c r="H76" s="51"/>
      <c r="J76" s="51"/>
      <c r="K76" s="52"/>
      <c r="L76" s="51"/>
      <c r="M76" s="51"/>
      <c r="N76" s="51"/>
      <c r="O76" s="62"/>
      <c r="P76" s="51"/>
      <c r="Q76" s="52"/>
      <c r="R76" s="51"/>
      <c r="S76" s="51"/>
      <c r="T76" s="51"/>
      <c r="V76" s="51"/>
      <c r="W76" s="72"/>
      <c r="X76" s="51"/>
      <c r="Y76" s="51"/>
      <c r="Z76" s="51"/>
    </row>
    <row r="77" spans="1:26" ht="23.25" x14ac:dyDescent="0.35">
      <c r="A77" s="49"/>
      <c r="B77" s="49"/>
      <c r="C77" s="63"/>
      <c r="D77" s="51"/>
      <c r="E77" s="52"/>
      <c r="F77" s="51"/>
      <c r="G77" s="51"/>
      <c r="H77" s="51"/>
      <c r="J77" s="51"/>
      <c r="K77" s="52"/>
      <c r="L77" s="51"/>
      <c r="M77" s="58"/>
      <c r="N77" s="51"/>
      <c r="O77" s="62"/>
      <c r="P77" s="51"/>
      <c r="Q77" s="52"/>
      <c r="R77" s="51"/>
      <c r="S77" s="51"/>
      <c r="T77" s="51"/>
      <c r="V77" s="51"/>
      <c r="W77" s="72"/>
      <c r="X77" s="51"/>
      <c r="Y77" s="51"/>
      <c r="Z77" s="51"/>
    </row>
    <row r="78" spans="1:26" ht="23.25" x14ac:dyDescent="0.35">
      <c r="A78" s="65"/>
      <c r="B78" s="65"/>
      <c r="C78" s="71"/>
      <c r="D78" s="51"/>
      <c r="E78" s="52"/>
      <c r="F78" s="51"/>
      <c r="G78" s="51"/>
      <c r="H78" s="51"/>
      <c r="J78" s="51"/>
      <c r="K78" s="52"/>
      <c r="L78" s="51"/>
      <c r="M78" s="51"/>
      <c r="N78" s="51"/>
      <c r="O78" s="62"/>
      <c r="P78" s="51"/>
      <c r="Q78" s="52"/>
      <c r="R78" s="51"/>
      <c r="S78" s="51"/>
      <c r="T78" s="51"/>
      <c r="V78" s="51"/>
      <c r="W78" s="72"/>
      <c r="X78" s="51"/>
      <c r="Y78" s="51"/>
      <c r="Z78" s="51"/>
    </row>
    <row r="79" spans="1:26" ht="23.25" x14ac:dyDescent="0.35">
      <c r="A79" s="65"/>
      <c r="B79" s="65"/>
      <c r="C79" s="71"/>
      <c r="D79" s="51"/>
      <c r="E79" s="52"/>
      <c r="F79" s="51"/>
      <c r="G79" s="51"/>
      <c r="H79" s="51"/>
      <c r="J79" s="51"/>
      <c r="K79" s="52"/>
      <c r="L79" s="51"/>
      <c r="M79" s="51"/>
      <c r="N79" s="51"/>
      <c r="O79" s="62"/>
      <c r="P79" s="51"/>
      <c r="Q79" s="52"/>
      <c r="R79" s="51"/>
      <c r="S79" s="51"/>
      <c r="T79" s="51"/>
      <c r="V79" s="51"/>
      <c r="W79" s="72"/>
      <c r="X79" s="51"/>
      <c r="Y79" s="51"/>
      <c r="Z79" s="51"/>
    </row>
    <row r="80" spans="1:26" ht="23.25" x14ac:dyDescent="0.35">
      <c r="A80" s="65"/>
      <c r="B80" s="65"/>
      <c r="C80" s="71"/>
      <c r="D80" s="51"/>
      <c r="E80" s="52"/>
      <c r="F80" s="51"/>
      <c r="G80" s="51"/>
      <c r="H80" s="51"/>
      <c r="J80" s="51"/>
      <c r="K80" s="52"/>
      <c r="L80" s="51"/>
      <c r="M80" s="51"/>
      <c r="N80" s="51"/>
      <c r="O80" s="62"/>
      <c r="P80" s="51"/>
      <c r="Q80" s="52"/>
      <c r="R80" s="51"/>
      <c r="S80" s="51"/>
      <c r="T80" s="51"/>
      <c r="V80" s="51"/>
      <c r="W80" s="72"/>
      <c r="X80" s="51"/>
      <c r="Y80" s="51"/>
      <c r="Z80" s="51"/>
    </row>
    <row r="81" spans="1:26" ht="23.25" x14ac:dyDescent="0.35">
      <c r="A81" s="65"/>
      <c r="B81" s="65"/>
      <c r="C81" s="71"/>
      <c r="D81" s="51"/>
      <c r="E81" s="52"/>
      <c r="F81" s="51"/>
      <c r="G81" s="51"/>
      <c r="H81" s="51"/>
      <c r="J81" s="51"/>
      <c r="K81" s="52"/>
      <c r="L81" s="51"/>
      <c r="M81" s="51"/>
      <c r="N81" s="51"/>
      <c r="O81" s="62"/>
      <c r="P81" s="51"/>
      <c r="Q81" s="52"/>
      <c r="R81" s="51"/>
      <c r="S81" s="51"/>
      <c r="T81" s="51"/>
      <c r="V81" s="51"/>
      <c r="W81" s="72"/>
      <c r="X81" s="51"/>
      <c r="Y81" s="51"/>
      <c r="Z81" s="51"/>
    </row>
    <row r="82" spans="1:26" ht="23.25" x14ac:dyDescent="0.35">
      <c r="A82" s="65"/>
      <c r="B82" s="65"/>
      <c r="C82" s="71"/>
      <c r="D82" s="51"/>
      <c r="E82" s="52"/>
      <c r="F82" s="51"/>
      <c r="G82" s="51"/>
      <c r="H82" s="51"/>
      <c r="J82" s="51"/>
      <c r="K82" s="52"/>
      <c r="L82" s="51"/>
      <c r="M82" s="51"/>
      <c r="N82" s="51"/>
      <c r="O82" s="62"/>
      <c r="P82" s="51"/>
      <c r="Q82" s="52"/>
      <c r="R82" s="51"/>
      <c r="S82" s="51"/>
      <c r="T82" s="51"/>
      <c r="V82" s="51"/>
      <c r="W82" s="72"/>
      <c r="X82" s="51"/>
      <c r="Y82" s="51"/>
      <c r="Z82" s="51"/>
    </row>
    <row r="83" spans="1:26" ht="23.25" x14ac:dyDescent="0.35">
      <c r="A83" s="65"/>
      <c r="B83" s="65"/>
      <c r="C83" s="71"/>
      <c r="D83" s="51"/>
      <c r="E83" s="52"/>
      <c r="F83" s="51"/>
      <c r="G83" s="51"/>
      <c r="H83" s="51"/>
      <c r="J83" s="51"/>
      <c r="K83" s="52"/>
      <c r="L83" s="51"/>
      <c r="M83" s="51"/>
      <c r="N83" s="51"/>
      <c r="O83" s="62"/>
      <c r="P83" s="51"/>
      <c r="Q83" s="52"/>
      <c r="R83" s="51"/>
      <c r="S83" s="51"/>
      <c r="T83" s="51"/>
      <c r="V83" s="51"/>
      <c r="W83" s="72"/>
      <c r="X83" s="51"/>
      <c r="Y83" s="51"/>
      <c r="Z83" s="51"/>
    </row>
    <row r="84" spans="1:26" ht="23.25" x14ac:dyDescent="0.35">
      <c r="A84" s="65"/>
      <c r="B84" s="65"/>
      <c r="C84" s="71"/>
      <c r="D84" s="51"/>
      <c r="E84" s="52"/>
      <c r="F84" s="51"/>
      <c r="G84" s="51"/>
      <c r="H84" s="51"/>
      <c r="J84" s="51"/>
      <c r="K84" s="52"/>
      <c r="L84" s="51"/>
      <c r="M84" s="51"/>
      <c r="N84" s="51"/>
      <c r="O84" s="62"/>
      <c r="P84" s="51"/>
      <c r="Q84" s="52"/>
      <c r="R84" s="51"/>
      <c r="S84" s="51"/>
      <c r="T84" s="51"/>
      <c r="V84" s="51"/>
      <c r="W84" s="72"/>
      <c r="X84" s="51"/>
      <c r="Y84" s="51"/>
      <c r="Z84" s="51"/>
    </row>
    <row r="85" spans="1:26" ht="23.25" x14ac:dyDescent="0.35">
      <c r="A85" s="65"/>
      <c r="B85" s="65"/>
      <c r="C85" s="71"/>
      <c r="D85" s="51"/>
      <c r="E85" s="52"/>
      <c r="F85" s="51"/>
      <c r="G85" s="51"/>
      <c r="H85" s="51"/>
      <c r="J85" s="51"/>
      <c r="K85" s="52"/>
      <c r="L85" s="51"/>
      <c r="M85" s="51"/>
      <c r="N85" s="51"/>
      <c r="O85" s="62"/>
      <c r="P85" s="51"/>
      <c r="Q85" s="52"/>
      <c r="R85" s="51"/>
      <c r="S85" s="51"/>
      <c r="T85" s="51"/>
      <c r="V85" s="51"/>
      <c r="W85" s="72"/>
      <c r="X85" s="51"/>
      <c r="Y85" s="51"/>
      <c r="Z85" s="51"/>
    </row>
    <row r="86" spans="1:26" ht="23.25" x14ac:dyDescent="0.35">
      <c r="A86" s="65"/>
      <c r="B86" s="65"/>
      <c r="C86" s="71"/>
      <c r="D86" s="51"/>
      <c r="E86" s="52"/>
      <c r="F86" s="51"/>
      <c r="G86" s="51"/>
      <c r="H86" s="51"/>
      <c r="J86" s="51"/>
      <c r="K86" s="52"/>
      <c r="L86" s="51"/>
      <c r="M86" s="51"/>
      <c r="N86" s="51"/>
      <c r="O86" s="62"/>
      <c r="P86" s="51"/>
      <c r="Q86" s="52"/>
      <c r="R86" s="51"/>
      <c r="S86" s="51"/>
      <c r="T86" s="51"/>
      <c r="V86" s="51"/>
      <c r="W86" s="72"/>
      <c r="X86" s="51"/>
      <c r="Y86" s="51"/>
      <c r="Z86" s="51"/>
    </row>
    <row r="87" spans="1:26" ht="23.25" x14ac:dyDescent="0.35">
      <c r="A87" s="65"/>
      <c r="B87" s="65"/>
      <c r="C87" s="71"/>
      <c r="D87" s="51"/>
      <c r="E87" s="52"/>
      <c r="F87" s="51"/>
      <c r="G87" s="51"/>
      <c r="H87" s="51"/>
      <c r="J87" s="51"/>
      <c r="K87" s="52"/>
      <c r="L87" s="51"/>
      <c r="M87" s="51"/>
      <c r="N87" s="51"/>
      <c r="O87" s="62"/>
      <c r="P87" s="51"/>
      <c r="Q87" s="52"/>
      <c r="R87" s="51"/>
      <c r="S87" s="51"/>
      <c r="T87" s="51"/>
      <c r="V87" s="51"/>
      <c r="W87" s="72"/>
      <c r="X87" s="51"/>
      <c r="Y87" s="51"/>
      <c r="Z87" s="51"/>
    </row>
    <row r="88" spans="1:26" ht="23.25" x14ac:dyDescent="0.35">
      <c r="A88" s="65"/>
      <c r="B88" s="65"/>
      <c r="C88" s="71"/>
      <c r="D88" s="51"/>
      <c r="E88" s="52"/>
      <c r="F88" s="51"/>
      <c r="G88" s="51"/>
      <c r="H88" s="51"/>
      <c r="J88" s="51"/>
      <c r="K88" s="52"/>
      <c r="L88" s="51"/>
      <c r="M88" s="51"/>
      <c r="N88" s="51"/>
      <c r="O88" s="62"/>
      <c r="P88" s="51"/>
      <c r="Q88" s="52"/>
      <c r="R88" s="51"/>
      <c r="S88" s="51"/>
      <c r="T88" s="51"/>
      <c r="V88" s="51"/>
      <c r="W88" s="72"/>
      <c r="X88" s="51"/>
      <c r="Y88" s="51"/>
      <c r="Z88" s="51"/>
    </row>
    <row r="89" spans="1:26" ht="23.25" x14ac:dyDescent="0.35">
      <c r="A89" s="65"/>
      <c r="B89" s="65"/>
      <c r="C89" s="71"/>
      <c r="D89" s="51"/>
      <c r="E89" s="52"/>
      <c r="F89" s="51"/>
      <c r="G89" s="51"/>
      <c r="H89" s="51"/>
      <c r="J89" s="51"/>
      <c r="K89" s="52"/>
      <c r="L89" s="51"/>
      <c r="M89" s="51"/>
      <c r="N89" s="51"/>
      <c r="O89" s="62"/>
      <c r="P89" s="51"/>
      <c r="Q89" s="52"/>
      <c r="R89" s="51"/>
      <c r="S89" s="51"/>
      <c r="T89" s="51"/>
      <c r="V89" s="51"/>
      <c r="W89" s="72"/>
      <c r="X89" s="51"/>
      <c r="Y89" s="51"/>
      <c r="Z89" s="51"/>
    </row>
    <row r="90" spans="1:26" ht="23.25" x14ac:dyDescent="0.35">
      <c r="A90" s="65"/>
      <c r="B90" s="65"/>
      <c r="C90" s="71"/>
      <c r="D90" s="51"/>
      <c r="E90" s="52"/>
      <c r="F90" s="51"/>
      <c r="G90" s="51"/>
      <c r="H90" s="51"/>
      <c r="J90" s="51"/>
      <c r="K90" s="52"/>
      <c r="L90" s="51"/>
      <c r="M90" s="51"/>
      <c r="N90" s="51"/>
      <c r="O90" s="62"/>
      <c r="P90" s="51"/>
      <c r="Q90" s="52"/>
      <c r="R90" s="51"/>
      <c r="S90" s="51"/>
      <c r="T90" s="51"/>
      <c r="V90" s="51"/>
      <c r="W90" s="72"/>
      <c r="X90" s="51"/>
      <c r="Y90" s="51"/>
      <c r="Z90" s="51"/>
    </row>
    <row r="91" spans="1:26" ht="23.25" x14ac:dyDescent="0.35">
      <c r="A91" s="65"/>
      <c r="B91" s="65"/>
      <c r="C91" s="71"/>
      <c r="D91" s="73"/>
      <c r="E91" s="72"/>
      <c r="F91" s="51"/>
      <c r="G91" s="51"/>
      <c r="H91" s="51"/>
      <c r="J91" s="73"/>
      <c r="K91" s="72"/>
      <c r="L91" s="51"/>
      <c r="M91" s="51"/>
      <c r="N91" s="51"/>
      <c r="O91" s="62"/>
      <c r="P91" s="73"/>
      <c r="Q91" s="72"/>
      <c r="R91" s="51"/>
      <c r="S91" s="51"/>
      <c r="T91" s="51"/>
      <c r="V91" s="51"/>
      <c r="W91" s="72"/>
      <c r="X91" s="51"/>
      <c r="Y91" s="51"/>
      <c r="Z91" s="51"/>
    </row>
    <row r="92" spans="1:26" ht="23.25" x14ac:dyDescent="0.35">
      <c r="A92" s="100"/>
      <c r="B92" s="75"/>
      <c r="C92" s="76"/>
      <c r="D92" s="77"/>
      <c r="E92" s="77"/>
      <c r="F92" s="77"/>
      <c r="G92" s="77"/>
      <c r="H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V92" s="51"/>
      <c r="W92" s="77"/>
      <c r="X92" s="77"/>
      <c r="Y92" s="77"/>
      <c r="Z92" s="77"/>
    </row>
    <row r="93" spans="1:26" ht="23.25" x14ac:dyDescent="0.35">
      <c r="A93" s="100"/>
      <c r="B93" s="75"/>
      <c r="C93" s="76"/>
      <c r="D93" s="77"/>
      <c r="E93" s="77"/>
      <c r="F93" s="77"/>
      <c r="G93" s="77"/>
      <c r="H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V93" s="77"/>
      <c r="W93" s="77"/>
      <c r="X93" s="77"/>
      <c r="Y93" s="77"/>
      <c r="Z93" s="77"/>
    </row>
    <row r="94" spans="1:26" ht="23.25" x14ac:dyDescent="0.35">
      <c r="A94" s="103"/>
      <c r="B94" s="75"/>
      <c r="C94" s="76"/>
      <c r="D94" s="81"/>
      <c r="E94" s="81"/>
      <c r="F94" s="81"/>
      <c r="G94" s="81"/>
      <c r="H94" s="81"/>
      <c r="J94" s="81"/>
      <c r="K94" s="81"/>
      <c r="L94" s="81"/>
      <c r="M94" s="81"/>
      <c r="N94" s="81"/>
      <c r="O94" s="51"/>
      <c r="P94" s="81"/>
      <c r="Q94" s="81"/>
      <c r="R94" s="81"/>
      <c r="S94" s="81"/>
      <c r="T94" s="81"/>
      <c r="V94" s="51"/>
      <c r="W94" s="77"/>
      <c r="X94" s="51"/>
      <c r="Y94" s="51"/>
      <c r="Z94" s="51"/>
    </row>
    <row r="95" spans="1:26" ht="23.25" x14ac:dyDescent="0.35">
      <c r="A95" s="103"/>
      <c r="B95" s="75"/>
      <c r="C95" s="76"/>
      <c r="D95" s="62"/>
      <c r="E95" s="99"/>
      <c r="F95" s="62"/>
      <c r="G95" s="62"/>
      <c r="H95" s="62"/>
      <c r="J95" s="62"/>
      <c r="K95" s="99"/>
      <c r="L95" s="62"/>
      <c r="M95" s="62"/>
      <c r="N95" s="62"/>
      <c r="O95" s="58"/>
      <c r="P95" s="62"/>
      <c r="Q95" s="99"/>
      <c r="R95" s="62"/>
      <c r="S95" s="62"/>
      <c r="T95" s="62"/>
      <c r="V95" s="62"/>
      <c r="W95" s="77"/>
      <c r="X95" s="81"/>
      <c r="Y95" s="58"/>
      <c r="Z95" s="58"/>
    </row>
    <row r="96" spans="1:26" ht="23.25" x14ac:dyDescent="0.35">
      <c r="A96" s="103"/>
      <c r="B96" s="75"/>
      <c r="C96" s="76"/>
      <c r="D96" s="62"/>
      <c r="E96" s="62"/>
      <c r="F96" s="62"/>
      <c r="G96" s="62"/>
      <c r="H96" s="62"/>
      <c r="J96" s="62"/>
      <c r="K96" s="62"/>
      <c r="L96" s="62"/>
      <c r="M96" s="62"/>
      <c r="N96" s="62"/>
      <c r="O96" s="58"/>
      <c r="P96" s="62"/>
      <c r="Q96" s="62"/>
      <c r="R96" s="62"/>
      <c r="S96" s="62"/>
      <c r="T96" s="62"/>
      <c r="V96" s="77"/>
      <c r="W96" s="77"/>
      <c r="X96" s="81"/>
      <c r="Y96" s="58"/>
      <c r="Z96" s="58"/>
    </row>
    <row r="97" spans="1:26" ht="23.25" x14ac:dyDescent="0.35">
      <c r="A97" s="103"/>
      <c r="B97" s="75"/>
      <c r="C97" s="76"/>
      <c r="D97" s="81"/>
      <c r="E97" s="77"/>
      <c r="F97" s="81"/>
      <c r="G97" s="58"/>
      <c r="H97" s="58"/>
      <c r="J97" s="77"/>
      <c r="K97" s="77"/>
      <c r="L97" s="81"/>
      <c r="M97" s="58"/>
      <c r="N97" s="58"/>
      <c r="O97" s="58"/>
      <c r="P97" s="77"/>
      <c r="Q97" s="77"/>
      <c r="R97" s="81"/>
      <c r="S97" s="58"/>
      <c r="T97" s="58"/>
      <c r="V97" s="77"/>
      <c r="W97" s="77"/>
      <c r="X97" s="81"/>
      <c r="Y97" s="58"/>
      <c r="Z97" s="58"/>
    </row>
    <row r="100" spans="1:26" ht="23.25" x14ac:dyDescent="0.25">
      <c r="A100" s="40"/>
      <c r="B100" s="40"/>
      <c r="C100" s="40"/>
      <c r="D100" s="40"/>
      <c r="E100" s="122"/>
      <c r="F100" s="40"/>
      <c r="G100" s="40"/>
      <c r="H100" s="40"/>
      <c r="J100" s="122"/>
      <c r="K100" s="40"/>
      <c r="L100" s="40"/>
      <c r="M100" s="40"/>
      <c r="N100" s="40"/>
      <c r="O100" s="40"/>
      <c r="P100" s="122"/>
      <c r="Q100" s="40"/>
      <c r="R100" s="40"/>
      <c r="S100" s="40"/>
      <c r="T100" s="40"/>
      <c r="V100" s="122"/>
      <c r="W100" s="122"/>
      <c r="X100" s="40"/>
      <c r="Y100" s="40"/>
      <c r="Z100" s="40"/>
    </row>
    <row r="101" spans="1:26" ht="23.25" x14ac:dyDescent="0.25">
      <c r="A101" s="40"/>
      <c r="B101" s="40"/>
      <c r="C101" s="40"/>
      <c r="D101" s="40"/>
      <c r="E101" s="122"/>
      <c r="F101" s="40"/>
      <c r="G101" s="40"/>
      <c r="H101" s="40"/>
      <c r="J101" s="122"/>
      <c r="K101" s="40"/>
      <c r="L101" s="40"/>
      <c r="M101" s="40"/>
      <c r="N101" s="40"/>
      <c r="O101" s="40"/>
      <c r="P101" s="122"/>
      <c r="Q101" s="40"/>
      <c r="R101" s="40"/>
      <c r="S101" s="40"/>
      <c r="T101" s="40"/>
      <c r="V101" s="122"/>
      <c r="W101" s="122"/>
      <c r="X101" s="40"/>
      <c r="Y101" s="40"/>
      <c r="Z101" s="40"/>
    </row>
    <row r="102" spans="1:26" ht="23.25" x14ac:dyDescent="0.35">
      <c r="A102" s="7"/>
      <c r="B102" s="7"/>
      <c r="C102" s="7"/>
      <c r="D102" s="7"/>
      <c r="E102" s="7"/>
      <c r="F102" s="7"/>
      <c r="G102" s="6"/>
      <c r="H102" s="6"/>
      <c r="J102" s="7"/>
      <c r="K102" s="7"/>
      <c r="L102" s="7"/>
      <c r="M102" s="6"/>
      <c r="N102" s="6"/>
      <c r="O102" s="7"/>
      <c r="P102" s="7"/>
      <c r="Q102" s="7"/>
      <c r="R102" s="7"/>
      <c r="S102" s="6"/>
      <c r="T102" s="6"/>
      <c r="V102" s="7"/>
      <c r="W102" s="7"/>
      <c r="X102" s="7"/>
      <c r="Y102" s="6"/>
      <c r="Z102" s="6"/>
    </row>
    <row r="103" spans="1:26" ht="23.25" x14ac:dyDescent="0.35">
      <c r="A103" s="49"/>
      <c r="B103" s="49"/>
      <c r="C103" s="50"/>
      <c r="D103" s="51"/>
      <c r="E103" s="52"/>
      <c r="F103" s="51"/>
      <c r="G103" s="51"/>
      <c r="H103" s="81"/>
      <c r="J103" s="51"/>
      <c r="K103" s="52"/>
      <c r="L103" s="51"/>
      <c r="M103" s="51"/>
      <c r="N103" s="81"/>
      <c r="O103" s="58"/>
      <c r="P103" s="51"/>
      <c r="Q103" s="52"/>
      <c r="R103" s="51"/>
      <c r="S103" s="51"/>
      <c r="T103" s="81"/>
      <c r="V103" s="51"/>
      <c r="W103" s="60"/>
    </row>
    <row r="104" spans="1:26" ht="23.25" x14ac:dyDescent="0.35">
      <c r="A104" s="49"/>
      <c r="B104" s="49"/>
      <c r="C104" s="50"/>
      <c r="D104" s="51"/>
      <c r="E104" s="52"/>
      <c r="F104" s="51"/>
      <c r="G104" s="51"/>
      <c r="H104" s="81"/>
      <c r="J104" s="51"/>
      <c r="K104" s="52"/>
      <c r="L104" s="51"/>
      <c r="M104" s="51"/>
      <c r="N104" s="81"/>
      <c r="O104" s="62"/>
      <c r="P104" s="51"/>
      <c r="Q104" s="52"/>
      <c r="R104" s="51"/>
      <c r="S104" s="51"/>
      <c r="T104" s="81"/>
      <c r="V104" s="51"/>
      <c r="W104" s="60"/>
    </row>
    <row r="105" spans="1:26" ht="23.25" x14ac:dyDescent="0.35">
      <c r="A105" s="49"/>
      <c r="B105" s="49"/>
      <c r="C105" s="50"/>
      <c r="D105" s="51"/>
      <c r="E105" s="52"/>
      <c r="F105" s="51"/>
      <c r="G105" s="51"/>
      <c r="H105" s="81"/>
      <c r="J105" s="51"/>
      <c r="K105" s="52"/>
      <c r="L105" s="51"/>
      <c r="M105" s="51"/>
      <c r="N105" s="81"/>
      <c r="O105" s="62"/>
      <c r="P105" s="51"/>
      <c r="Q105" s="52"/>
      <c r="R105" s="51"/>
      <c r="S105" s="51"/>
      <c r="T105" s="81"/>
      <c r="V105" s="51"/>
      <c r="W105" s="60"/>
    </row>
    <row r="106" spans="1:26" ht="23.25" x14ac:dyDescent="0.35">
      <c r="A106" s="49"/>
      <c r="B106" s="49"/>
      <c r="C106" s="50"/>
      <c r="D106" s="51"/>
      <c r="E106" s="52"/>
      <c r="F106" s="51"/>
      <c r="G106" s="51"/>
      <c r="H106" s="81"/>
      <c r="J106" s="51"/>
      <c r="K106" s="52"/>
      <c r="L106" s="51"/>
      <c r="M106" s="51"/>
      <c r="N106" s="51"/>
      <c r="O106" s="62"/>
      <c r="P106" s="51"/>
      <c r="Q106" s="52"/>
      <c r="R106" s="51"/>
      <c r="S106" s="51"/>
      <c r="T106" s="51"/>
      <c r="V106" s="51"/>
      <c r="W106" s="60"/>
    </row>
    <row r="107" spans="1:26" ht="23.25" x14ac:dyDescent="0.35">
      <c r="A107" s="65"/>
      <c r="B107" s="49"/>
      <c r="C107" s="50"/>
      <c r="D107" s="51"/>
      <c r="E107" s="52"/>
      <c r="F107" s="51"/>
      <c r="G107" s="51"/>
      <c r="H107" s="81"/>
      <c r="J107" s="51"/>
      <c r="K107" s="52"/>
      <c r="L107" s="51"/>
      <c r="M107" s="51"/>
      <c r="N107" s="81"/>
      <c r="O107" s="62"/>
      <c r="P107" s="51"/>
      <c r="Q107" s="52"/>
      <c r="R107" s="51"/>
      <c r="S107" s="51"/>
      <c r="T107" s="81"/>
      <c r="V107" s="51"/>
      <c r="W107" s="60"/>
      <c r="X107" s="51"/>
      <c r="Y107" s="51"/>
      <c r="Z107" s="51"/>
    </row>
    <row r="108" spans="1:26" ht="23.25" x14ac:dyDescent="0.35">
      <c r="A108" s="49"/>
      <c r="B108" s="49"/>
      <c r="C108" s="50"/>
      <c r="D108" s="104"/>
      <c r="E108" s="52"/>
      <c r="F108" s="51"/>
      <c r="G108" s="51"/>
      <c r="H108" s="51"/>
      <c r="J108" s="51"/>
      <c r="K108" s="52"/>
      <c r="L108" s="51"/>
      <c r="M108" s="51"/>
      <c r="N108" s="51"/>
      <c r="O108" s="62"/>
      <c r="P108" s="51"/>
      <c r="Q108" s="52"/>
      <c r="R108" s="51"/>
      <c r="S108" s="51"/>
      <c r="T108" s="51"/>
      <c r="V108" s="51"/>
      <c r="W108" s="60"/>
      <c r="X108" s="51"/>
      <c r="Y108" s="51"/>
      <c r="Z108" s="51"/>
    </row>
    <row r="109" spans="1:26" ht="23.25" x14ac:dyDescent="0.35">
      <c r="A109" s="49"/>
      <c r="B109" s="49"/>
      <c r="C109" s="50"/>
      <c r="D109" s="104"/>
      <c r="E109" s="52"/>
      <c r="F109" s="51"/>
      <c r="G109" s="51"/>
      <c r="H109" s="51"/>
      <c r="J109" s="51"/>
      <c r="K109" s="52"/>
      <c r="L109" s="51"/>
      <c r="M109" s="51"/>
      <c r="N109" s="51"/>
      <c r="O109" s="62"/>
      <c r="P109" s="51"/>
      <c r="Q109" s="52"/>
      <c r="R109" s="51"/>
      <c r="S109" s="51"/>
      <c r="T109" s="51"/>
      <c r="V109" s="51"/>
      <c r="W109" s="60"/>
      <c r="X109" s="51"/>
      <c r="Y109" s="51"/>
      <c r="Z109" s="51"/>
    </row>
    <row r="110" spans="1:26" ht="23.25" x14ac:dyDescent="0.35">
      <c r="A110" s="65"/>
      <c r="B110" s="49"/>
      <c r="C110" s="50"/>
      <c r="D110" s="104"/>
      <c r="E110" s="52"/>
      <c r="F110" s="51"/>
      <c r="G110" s="51"/>
      <c r="H110" s="51"/>
      <c r="J110" s="51"/>
      <c r="K110" s="52"/>
      <c r="L110" s="51"/>
      <c r="M110" s="51"/>
      <c r="N110" s="51"/>
      <c r="O110" s="62"/>
      <c r="P110" s="51"/>
      <c r="Q110" s="52"/>
      <c r="R110" s="51"/>
      <c r="S110" s="51"/>
      <c r="T110" s="51"/>
      <c r="V110" s="51"/>
      <c r="W110" s="60"/>
      <c r="X110" s="51"/>
      <c r="Y110" s="51"/>
      <c r="Z110" s="51"/>
    </row>
    <row r="111" spans="1:26" ht="23.25" x14ac:dyDescent="0.35">
      <c r="A111" s="65"/>
      <c r="B111" s="65"/>
      <c r="C111" s="73"/>
      <c r="D111" s="51"/>
      <c r="E111" s="52"/>
      <c r="F111" s="51"/>
      <c r="G111" s="51"/>
      <c r="H111" s="51"/>
      <c r="J111" s="51"/>
      <c r="K111" s="52"/>
      <c r="L111" s="51"/>
      <c r="M111" s="51"/>
      <c r="N111" s="51"/>
      <c r="O111" s="62"/>
      <c r="P111" s="51"/>
      <c r="Q111" s="52"/>
      <c r="R111" s="51"/>
      <c r="S111" s="51"/>
      <c r="T111" s="51"/>
      <c r="V111" s="51"/>
      <c r="W111" s="60"/>
      <c r="X111" s="51"/>
      <c r="Y111" s="51"/>
      <c r="Z111" s="51"/>
    </row>
    <row r="112" spans="1:26" ht="23.25" x14ac:dyDescent="0.35">
      <c r="A112" s="65"/>
      <c r="B112" s="65"/>
      <c r="C112" s="73"/>
      <c r="D112" s="51"/>
      <c r="E112" s="52"/>
      <c r="F112" s="51"/>
      <c r="G112" s="51"/>
      <c r="H112" s="51"/>
      <c r="J112" s="51"/>
      <c r="K112" s="52"/>
      <c r="L112" s="51"/>
      <c r="M112" s="51"/>
      <c r="N112" s="51"/>
      <c r="O112" s="62"/>
      <c r="P112" s="51"/>
      <c r="Q112" s="52"/>
      <c r="R112" s="51"/>
      <c r="S112" s="51"/>
      <c r="T112" s="51"/>
      <c r="V112" s="51"/>
      <c r="W112" s="60"/>
      <c r="X112" s="51"/>
      <c r="Y112" s="51"/>
      <c r="Z112" s="51"/>
    </row>
    <row r="113" spans="1:26" ht="23.25" x14ac:dyDescent="0.35">
      <c r="A113" s="49"/>
      <c r="B113" s="65"/>
      <c r="C113" s="50"/>
      <c r="D113" s="51"/>
      <c r="E113" s="52"/>
      <c r="F113" s="51"/>
      <c r="G113" s="51"/>
      <c r="H113" s="51"/>
      <c r="J113" s="51"/>
      <c r="K113" s="52"/>
      <c r="L113" s="51"/>
      <c r="M113" s="51"/>
      <c r="N113" s="51"/>
      <c r="O113" s="62"/>
      <c r="P113" s="51"/>
      <c r="Q113" s="52"/>
      <c r="R113" s="51"/>
      <c r="S113" s="51"/>
      <c r="T113" s="51"/>
      <c r="V113" s="51"/>
      <c r="W113" s="60"/>
      <c r="X113" s="51"/>
      <c r="Y113" s="51"/>
      <c r="Z113" s="51"/>
    </row>
    <row r="114" spans="1:26" ht="23.25" x14ac:dyDescent="0.35">
      <c r="A114" s="49"/>
      <c r="B114" s="65"/>
      <c r="C114" s="50"/>
      <c r="D114" s="51"/>
      <c r="E114" s="52"/>
      <c r="F114" s="51"/>
      <c r="G114" s="51"/>
      <c r="H114" s="51"/>
      <c r="J114" s="51"/>
      <c r="K114" s="52"/>
      <c r="L114" s="51"/>
      <c r="M114" s="51"/>
      <c r="N114" s="51"/>
      <c r="O114" s="62"/>
      <c r="P114" s="51"/>
      <c r="Q114" s="52"/>
      <c r="R114" s="51"/>
      <c r="S114" s="51"/>
      <c r="T114" s="51"/>
      <c r="V114" s="51"/>
      <c r="W114" s="60"/>
      <c r="X114" s="51"/>
      <c r="Y114" s="51"/>
      <c r="Z114" s="51"/>
    </row>
    <row r="115" spans="1:26" ht="23.25" x14ac:dyDescent="0.35">
      <c r="A115" s="49"/>
      <c r="B115" s="65"/>
      <c r="C115" s="50"/>
      <c r="D115" s="51"/>
      <c r="E115" s="52"/>
      <c r="F115" s="51"/>
      <c r="G115" s="51"/>
      <c r="H115" s="51"/>
      <c r="J115" s="51"/>
      <c r="K115" s="52"/>
      <c r="L115" s="51"/>
      <c r="M115" s="51"/>
      <c r="N115" s="51"/>
      <c r="O115" s="62"/>
      <c r="P115" s="51"/>
      <c r="Q115" s="52"/>
      <c r="R115" s="51"/>
      <c r="S115" s="51"/>
      <c r="T115" s="51"/>
      <c r="V115" s="51"/>
      <c r="W115" s="60"/>
      <c r="X115" s="51"/>
      <c r="Y115" s="51"/>
      <c r="Z115" s="51"/>
    </row>
    <row r="116" spans="1:26" ht="23.25" x14ac:dyDescent="0.35">
      <c r="A116" s="49"/>
      <c r="B116" s="65"/>
      <c r="C116" s="50"/>
      <c r="D116" s="51"/>
      <c r="E116" s="52"/>
      <c r="F116" s="51"/>
      <c r="G116" s="51"/>
      <c r="H116" s="51"/>
      <c r="J116" s="51"/>
      <c r="K116" s="52"/>
      <c r="L116" s="51"/>
      <c r="M116" s="51"/>
      <c r="N116" s="51"/>
      <c r="O116" s="62"/>
      <c r="P116" s="51"/>
      <c r="Q116" s="52"/>
      <c r="R116" s="51"/>
      <c r="S116" s="51"/>
      <c r="T116" s="51"/>
      <c r="V116" s="51"/>
      <c r="W116" s="60"/>
      <c r="X116" s="51"/>
      <c r="Y116" s="51"/>
      <c r="Z116" s="51"/>
    </row>
    <row r="117" spans="1:26" ht="23.25" x14ac:dyDescent="0.35">
      <c r="A117" s="49"/>
      <c r="B117" s="65"/>
      <c r="C117" s="50"/>
      <c r="D117" s="51"/>
      <c r="E117" s="52"/>
      <c r="F117" s="51"/>
      <c r="G117" s="51"/>
      <c r="H117" s="51"/>
      <c r="J117" s="51"/>
      <c r="K117" s="52"/>
      <c r="L117" s="51"/>
      <c r="M117" s="51"/>
      <c r="N117" s="51"/>
      <c r="O117" s="62"/>
      <c r="P117" s="51"/>
      <c r="Q117" s="52"/>
      <c r="R117" s="51"/>
      <c r="S117" s="51"/>
      <c r="T117" s="51"/>
      <c r="V117" s="51"/>
      <c r="W117" s="60"/>
      <c r="X117" s="51"/>
      <c r="Y117" s="51"/>
      <c r="Z117" s="51"/>
    </row>
    <row r="118" spans="1:26" ht="23.25" x14ac:dyDescent="0.35">
      <c r="A118" s="49"/>
      <c r="B118" s="65"/>
      <c r="C118" s="50"/>
      <c r="D118" s="51"/>
      <c r="E118" s="52"/>
      <c r="F118" s="51"/>
      <c r="G118" s="51"/>
      <c r="H118" s="51"/>
      <c r="J118" s="51"/>
      <c r="K118" s="52"/>
      <c r="L118" s="51"/>
      <c r="M118" s="51"/>
      <c r="N118" s="51"/>
      <c r="O118" s="62"/>
      <c r="P118" s="51"/>
      <c r="Q118" s="52"/>
      <c r="R118" s="51"/>
      <c r="S118" s="51"/>
      <c r="T118" s="51"/>
      <c r="V118" s="51"/>
      <c r="W118" s="60"/>
      <c r="X118" s="51"/>
      <c r="Y118" s="51"/>
      <c r="Z118" s="51"/>
    </row>
    <row r="119" spans="1:26" ht="23.25" x14ac:dyDescent="0.35">
      <c r="A119" s="65"/>
      <c r="B119" s="65"/>
      <c r="C119" s="50"/>
      <c r="D119" s="51"/>
      <c r="E119" s="52"/>
      <c r="F119" s="51"/>
      <c r="G119" s="51"/>
      <c r="H119" s="51"/>
      <c r="J119" s="51"/>
      <c r="K119" s="52"/>
      <c r="L119" s="51"/>
      <c r="M119" s="51"/>
      <c r="N119" s="51"/>
      <c r="O119" s="62"/>
      <c r="P119" s="51"/>
      <c r="Q119" s="52"/>
      <c r="R119" s="51"/>
      <c r="S119" s="51"/>
      <c r="T119" s="51"/>
      <c r="V119" s="51"/>
      <c r="W119" s="60"/>
      <c r="X119" s="51"/>
      <c r="Y119" s="51"/>
      <c r="Z119" s="51"/>
    </row>
    <row r="120" spans="1:26" ht="23.25" x14ac:dyDescent="0.35">
      <c r="A120" s="65"/>
      <c r="B120" s="65"/>
      <c r="C120" s="50"/>
      <c r="D120" s="51"/>
      <c r="E120" s="52"/>
      <c r="F120" s="51"/>
      <c r="G120" s="51"/>
      <c r="H120" s="51"/>
      <c r="J120" s="51"/>
      <c r="K120" s="52"/>
      <c r="L120" s="51"/>
      <c r="M120" s="51"/>
      <c r="N120" s="51"/>
      <c r="O120" s="62"/>
      <c r="P120" s="51"/>
      <c r="Q120" s="52"/>
      <c r="R120" s="51"/>
      <c r="S120" s="51"/>
      <c r="T120" s="51"/>
      <c r="V120" s="51"/>
      <c r="W120" s="60"/>
      <c r="X120" s="51"/>
      <c r="Y120" s="51"/>
      <c r="Z120" s="51"/>
    </row>
    <row r="121" spans="1:26" ht="23.25" x14ac:dyDescent="0.35">
      <c r="A121" s="65"/>
      <c r="B121" s="65"/>
      <c r="C121" s="50"/>
      <c r="D121" s="51"/>
      <c r="E121" s="52"/>
      <c r="F121" s="51"/>
      <c r="G121" s="51"/>
      <c r="H121" s="51"/>
      <c r="J121" s="51"/>
      <c r="K121" s="52"/>
      <c r="L121" s="51"/>
      <c r="M121" s="51"/>
      <c r="N121" s="51"/>
      <c r="O121" s="62"/>
      <c r="P121" s="51"/>
      <c r="Q121" s="52"/>
      <c r="R121" s="51"/>
      <c r="S121" s="51"/>
      <c r="T121" s="51"/>
      <c r="V121" s="51"/>
      <c r="W121" s="60"/>
      <c r="X121" s="51"/>
      <c r="Y121" s="51"/>
      <c r="Z121" s="51"/>
    </row>
    <row r="122" spans="1:26" ht="23.25" x14ac:dyDescent="0.35">
      <c r="A122" s="65"/>
      <c r="B122" s="65"/>
      <c r="C122" s="50"/>
      <c r="D122" s="51"/>
      <c r="E122" s="52"/>
      <c r="F122" s="51"/>
      <c r="G122" s="51"/>
      <c r="H122" s="51"/>
      <c r="J122" s="51"/>
      <c r="K122" s="52"/>
      <c r="L122" s="51"/>
      <c r="M122" s="51"/>
      <c r="N122" s="51"/>
      <c r="O122" s="62"/>
      <c r="P122" s="51"/>
      <c r="Q122" s="52"/>
      <c r="R122" s="51"/>
      <c r="S122" s="51"/>
      <c r="T122" s="51"/>
      <c r="V122" s="51"/>
      <c r="W122" s="60"/>
      <c r="X122" s="51"/>
      <c r="Y122" s="51"/>
      <c r="Z122" s="51"/>
    </row>
    <row r="123" spans="1:26" ht="23.25" x14ac:dyDescent="0.35">
      <c r="A123" s="65"/>
      <c r="B123" s="65"/>
      <c r="C123" s="50"/>
      <c r="D123" s="51"/>
      <c r="E123" s="52"/>
      <c r="F123" s="51"/>
      <c r="G123" s="51"/>
      <c r="H123" s="51"/>
      <c r="J123" s="51"/>
      <c r="K123" s="52"/>
      <c r="L123" s="51"/>
      <c r="M123" s="51"/>
      <c r="N123" s="51"/>
      <c r="O123" s="62"/>
      <c r="P123" s="51"/>
      <c r="Q123" s="52"/>
      <c r="R123" s="51"/>
      <c r="S123" s="51"/>
      <c r="T123" s="51"/>
      <c r="V123" s="51"/>
      <c r="W123" s="60"/>
      <c r="X123" s="51"/>
      <c r="Y123" s="51"/>
      <c r="Z123" s="51"/>
    </row>
    <row r="124" spans="1:26" ht="23.25" x14ac:dyDescent="0.35">
      <c r="A124" s="65"/>
      <c r="B124" s="65"/>
      <c r="C124" s="50"/>
      <c r="D124" s="51"/>
      <c r="E124" s="52"/>
      <c r="F124" s="51"/>
      <c r="G124" s="51"/>
      <c r="H124" s="51"/>
      <c r="J124" s="51"/>
      <c r="K124" s="52"/>
      <c r="L124" s="51"/>
      <c r="M124" s="51"/>
      <c r="N124" s="51"/>
      <c r="O124" s="62"/>
      <c r="P124" s="51"/>
      <c r="Q124" s="52"/>
      <c r="R124" s="51"/>
      <c r="S124" s="51"/>
      <c r="T124" s="51"/>
      <c r="V124" s="51"/>
      <c r="W124" s="60"/>
      <c r="X124" s="51"/>
      <c r="Y124" s="51"/>
      <c r="Z124" s="51"/>
    </row>
    <row r="125" spans="1:26" ht="23.25" x14ac:dyDescent="0.35">
      <c r="A125" s="100"/>
      <c r="B125" s="75"/>
      <c r="C125" s="76"/>
      <c r="D125" s="77"/>
      <c r="E125" s="77"/>
      <c r="F125" s="77"/>
      <c r="G125" s="77"/>
      <c r="H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V125" s="51"/>
      <c r="W125" s="77"/>
      <c r="X125" s="77"/>
      <c r="Y125" s="77"/>
      <c r="Z125" s="77"/>
    </row>
    <row r="126" spans="1:26" ht="23.25" x14ac:dyDescent="0.35">
      <c r="A126" s="100"/>
      <c r="B126" s="75"/>
      <c r="C126" s="76"/>
      <c r="D126" s="77"/>
      <c r="E126" s="77"/>
      <c r="F126" s="77"/>
      <c r="G126" s="77"/>
      <c r="H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V126" s="77"/>
      <c r="W126" s="77"/>
      <c r="X126" s="77"/>
      <c r="Y126" s="77"/>
      <c r="Z126" s="77"/>
    </row>
    <row r="127" spans="1:26" ht="23.25" x14ac:dyDescent="0.35">
      <c r="A127" s="103"/>
      <c r="B127" s="75"/>
      <c r="C127" s="76"/>
      <c r="D127" s="81"/>
      <c r="E127" s="81"/>
      <c r="F127" s="81"/>
      <c r="G127" s="81"/>
      <c r="H127" s="81"/>
      <c r="J127" s="81"/>
      <c r="K127" s="81"/>
      <c r="L127" s="81"/>
      <c r="M127" s="81"/>
      <c r="N127" s="81"/>
      <c r="O127" s="51"/>
      <c r="P127" s="81"/>
      <c r="Q127" s="81"/>
      <c r="R127" s="81"/>
      <c r="S127" s="81"/>
      <c r="T127" s="81"/>
      <c r="V127" s="51"/>
      <c r="W127" s="51"/>
      <c r="X127" s="51"/>
      <c r="Y127" s="51"/>
      <c r="Z127" s="51"/>
    </row>
    <row r="128" spans="1:26" ht="23.25" x14ac:dyDescent="0.35">
      <c r="A128" s="103"/>
      <c r="B128" s="75"/>
      <c r="C128" s="76"/>
      <c r="D128" s="62"/>
      <c r="E128" s="99"/>
      <c r="F128" s="62"/>
      <c r="G128" s="62"/>
      <c r="H128" s="62"/>
      <c r="J128" s="62"/>
      <c r="K128" s="99"/>
      <c r="L128" s="62"/>
      <c r="M128" s="62"/>
      <c r="N128" s="62"/>
      <c r="O128" s="58"/>
      <c r="P128" s="62"/>
      <c r="Q128" s="99"/>
      <c r="R128" s="62"/>
      <c r="S128" s="62"/>
      <c r="T128" s="62"/>
      <c r="V128" s="60"/>
      <c r="W128" s="52"/>
      <c r="X128" s="60"/>
      <c r="Y128" s="60"/>
      <c r="Z128" s="60"/>
    </row>
    <row r="129" spans="1:26" ht="23.25" x14ac:dyDescent="0.35">
      <c r="A129" s="103"/>
      <c r="B129" s="75"/>
      <c r="C129" s="76"/>
      <c r="D129" s="62"/>
      <c r="E129" s="62"/>
      <c r="F129" s="62"/>
      <c r="G129" s="62"/>
      <c r="H129" s="62"/>
      <c r="J129" s="62"/>
      <c r="K129" s="62"/>
      <c r="L129" s="62"/>
      <c r="M129" s="62"/>
      <c r="N129" s="62"/>
      <c r="O129" s="58"/>
      <c r="P129" s="62"/>
      <c r="Q129" s="62"/>
      <c r="R129" s="62"/>
      <c r="S129" s="62"/>
      <c r="T129" s="62"/>
      <c r="V129" s="60"/>
      <c r="W129" s="60"/>
      <c r="X129" s="60"/>
      <c r="Y129" s="60"/>
      <c r="Z129" s="60"/>
    </row>
    <row r="130" spans="1:26" ht="23.25" x14ac:dyDescent="0.35">
      <c r="A130" s="103"/>
      <c r="B130" s="75"/>
      <c r="C130" s="76"/>
      <c r="D130" s="51"/>
      <c r="E130" s="51"/>
      <c r="F130" s="81"/>
      <c r="G130" s="58"/>
      <c r="H130" s="58"/>
      <c r="J130" s="77"/>
      <c r="K130" s="77"/>
      <c r="L130" s="81"/>
      <c r="M130" s="58"/>
      <c r="N130" s="58"/>
      <c r="O130" s="58"/>
      <c r="P130" s="77"/>
      <c r="Q130" s="77"/>
      <c r="R130" s="81"/>
      <c r="S130" s="58"/>
      <c r="T130" s="58"/>
      <c r="V130" s="77"/>
      <c r="W130" s="77"/>
      <c r="X130" s="81"/>
      <c r="Y130" s="58"/>
      <c r="Z130" s="58"/>
    </row>
    <row r="133" spans="1:26" ht="23.25" x14ac:dyDescent="0.25">
      <c r="A133" s="40"/>
      <c r="B133" s="40"/>
      <c r="C133" s="40"/>
      <c r="D133" s="40"/>
      <c r="E133" s="122"/>
      <c r="F133" s="40"/>
      <c r="G133" s="40"/>
      <c r="H133" s="40"/>
      <c r="J133" s="122"/>
      <c r="K133" s="40"/>
      <c r="L133" s="40"/>
      <c r="M133" s="40"/>
      <c r="N133" s="40"/>
      <c r="P133" s="122"/>
      <c r="Q133" s="40"/>
      <c r="R133" s="40"/>
      <c r="S133" s="40"/>
      <c r="T133" s="40"/>
      <c r="V133" s="122"/>
      <c r="W133" s="122"/>
    </row>
    <row r="134" spans="1:26" ht="23.25" x14ac:dyDescent="0.25">
      <c r="A134" s="40"/>
      <c r="B134" s="40"/>
      <c r="C134" s="40"/>
      <c r="D134" s="40"/>
      <c r="E134" s="122"/>
      <c r="F134" s="40"/>
      <c r="G134" s="40"/>
      <c r="H134" s="40"/>
      <c r="J134" s="122"/>
      <c r="K134" s="40"/>
      <c r="L134" s="40"/>
      <c r="M134" s="40"/>
      <c r="N134" s="40"/>
      <c r="P134" s="122"/>
      <c r="Q134" s="40"/>
      <c r="R134" s="40"/>
      <c r="S134" s="40"/>
      <c r="T134" s="40"/>
      <c r="V134" s="122"/>
      <c r="W134" s="122"/>
    </row>
    <row r="135" spans="1:26" ht="23.25" x14ac:dyDescent="0.35">
      <c r="A135" s="7"/>
      <c r="B135" s="7"/>
      <c r="C135" s="7"/>
      <c r="D135" s="7"/>
      <c r="E135" s="7"/>
      <c r="F135" s="7"/>
      <c r="G135" s="6"/>
      <c r="H135" s="6"/>
      <c r="J135" s="7"/>
      <c r="K135" s="7"/>
      <c r="L135" s="7"/>
      <c r="M135" s="6"/>
      <c r="N135" s="6"/>
      <c r="P135" s="7"/>
      <c r="Q135" s="7"/>
      <c r="R135" s="7"/>
      <c r="S135" s="6"/>
      <c r="T135" s="6"/>
    </row>
    <row r="136" spans="1:26" ht="23.25" x14ac:dyDescent="0.35">
      <c r="A136" s="65"/>
      <c r="B136" s="49"/>
      <c r="C136" s="50"/>
      <c r="D136" s="51"/>
      <c r="E136" s="52"/>
      <c r="F136" s="51"/>
      <c r="G136" s="51"/>
      <c r="H136" s="81"/>
      <c r="J136" s="51"/>
      <c r="K136" s="52"/>
      <c r="L136" s="51"/>
      <c r="M136" s="51"/>
      <c r="N136" s="81"/>
      <c r="P136" s="51"/>
      <c r="Q136" s="52"/>
      <c r="R136" s="51"/>
      <c r="S136" s="51"/>
      <c r="T136" s="81"/>
      <c r="V136" s="51"/>
    </row>
    <row r="137" spans="1:26" ht="23.25" x14ac:dyDescent="0.35">
      <c r="A137" s="65"/>
      <c r="B137" s="49"/>
      <c r="C137" s="50"/>
      <c r="D137" s="51"/>
      <c r="E137" s="52"/>
      <c r="F137" s="51"/>
      <c r="G137" s="51"/>
      <c r="H137" s="81"/>
      <c r="J137" s="51"/>
      <c r="K137" s="52"/>
      <c r="L137" s="51"/>
      <c r="M137" s="51"/>
      <c r="N137" s="81"/>
      <c r="P137" s="51"/>
      <c r="Q137" s="52"/>
      <c r="R137" s="51"/>
      <c r="S137" s="51"/>
      <c r="T137" s="81"/>
      <c r="V137" s="51"/>
    </row>
    <row r="138" spans="1:26" ht="23.25" x14ac:dyDescent="0.35">
      <c r="A138" s="65"/>
      <c r="B138" s="49"/>
      <c r="C138" s="50"/>
      <c r="D138" s="51"/>
      <c r="E138" s="52"/>
      <c r="F138" s="51"/>
      <c r="G138" s="51"/>
      <c r="H138" s="81"/>
      <c r="J138" s="51"/>
      <c r="K138" s="52"/>
      <c r="L138" s="51"/>
      <c r="M138" s="51"/>
      <c r="N138" s="81"/>
      <c r="P138" s="51"/>
      <c r="Q138" s="52"/>
      <c r="R138" s="51"/>
      <c r="S138" s="51"/>
      <c r="T138" s="81"/>
      <c r="V138" s="51"/>
    </row>
    <row r="139" spans="1:26" ht="23.25" x14ac:dyDescent="0.35">
      <c r="A139" s="65"/>
      <c r="B139" s="49"/>
      <c r="C139" s="50"/>
      <c r="D139" s="51"/>
      <c r="E139" s="52"/>
      <c r="F139" s="51"/>
      <c r="G139" s="51"/>
      <c r="H139" s="81"/>
      <c r="J139" s="51"/>
      <c r="K139" s="52"/>
      <c r="L139" s="51"/>
      <c r="M139" s="51"/>
      <c r="N139" s="51"/>
      <c r="P139" s="51"/>
      <c r="Q139" s="52"/>
      <c r="R139" s="51"/>
      <c r="S139" s="51"/>
      <c r="T139" s="51"/>
      <c r="V139" s="51"/>
    </row>
    <row r="140" spans="1:26" ht="23.25" x14ac:dyDescent="0.35">
      <c r="A140" s="65"/>
      <c r="B140" s="49"/>
      <c r="C140" s="50"/>
      <c r="D140" s="51"/>
      <c r="E140" s="52"/>
      <c r="F140" s="51"/>
      <c r="G140" s="51"/>
      <c r="H140" s="81"/>
      <c r="J140" s="51"/>
      <c r="K140" s="52"/>
      <c r="L140" s="51"/>
      <c r="M140" s="51"/>
      <c r="N140" s="81"/>
      <c r="P140" s="51"/>
      <c r="Q140" s="52"/>
      <c r="R140" s="51"/>
      <c r="S140" s="51"/>
      <c r="T140" s="81"/>
      <c r="V140" s="51"/>
    </row>
    <row r="141" spans="1:26" ht="23.25" x14ac:dyDescent="0.35">
      <c r="A141" s="49"/>
      <c r="B141" s="49"/>
      <c r="C141" s="50"/>
      <c r="D141" s="50"/>
      <c r="E141" s="72"/>
      <c r="F141" s="51"/>
      <c r="G141" s="51"/>
      <c r="H141" s="51"/>
      <c r="J141" s="50"/>
      <c r="K141" s="72"/>
      <c r="L141" s="51"/>
      <c r="M141" s="51"/>
      <c r="N141" s="51"/>
      <c r="P141" s="50"/>
      <c r="Q141" s="72"/>
      <c r="R141" s="51"/>
      <c r="S141" s="51"/>
      <c r="T141" s="51"/>
      <c r="V141" s="51"/>
    </row>
    <row r="142" spans="1:26" ht="23.25" x14ac:dyDescent="0.35">
      <c r="A142" s="49"/>
      <c r="B142" s="49"/>
      <c r="C142" s="50"/>
      <c r="D142" s="50"/>
      <c r="E142" s="72"/>
      <c r="F142" s="51"/>
      <c r="G142" s="51"/>
      <c r="H142" s="51"/>
      <c r="J142" s="50"/>
      <c r="K142" s="72"/>
      <c r="L142" s="51"/>
      <c r="M142" s="51"/>
      <c r="N142" s="51"/>
      <c r="P142" s="50"/>
      <c r="Q142" s="72"/>
      <c r="R142" s="51"/>
      <c r="S142" s="51"/>
      <c r="T142" s="51"/>
      <c r="V142" s="51"/>
    </row>
    <row r="143" spans="1:26" ht="23.25" x14ac:dyDescent="0.35">
      <c r="A143" s="105"/>
      <c r="B143" s="105"/>
      <c r="C143" s="106"/>
      <c r="D143" s="106"/>
      <c r="E143" s="72"/>
      <c r="F143" s="51"/>
      <c r="G143" s="51"/>
      <c r="H143" s="51"/>
      <c r="J143" s="106"/>
      <c r="K143" s="72"/>
      <c r="L143" s="51"/>
      <c r="M143" s="51"/>
      <c r="N143" s="51"/>
      <c r="P143" s="106"/>
      <c r="Q143" s="72"/>
      <c r="R143" s="51"/>
      <c r="S143" s="51"/>
      <c r="T143" s="51"/>
      <c r="V143" s="51"/>
    </row>
    <row r="144" spans="1:26" ht="23.25" x14ac:dyDescent="0.35">
      <c r="A144" s="105"/>
      <c r="B144" s="105"/>
      <c r="C144" s="106"/>
      <c r="D144" s="106"/>
      <c r="E144" s="72"/>
      <c r="F144" s="51"/>
      <c r="G144" s="51"/>
      <c r="H144" s="51"/>
      <c r="J144" s="106"/>
      <c r="K144" s="72"/>
      <c r="L144" s="51"/>
      <c r="M144" s="51"/>
      <c r="N144" s="51"/>
      <c r="P144" s="106"/>
      <c r="Q144" s="72"/>
      <c r="R144" s="51"/>
      <c r="S144" s="51"/>
      <c r="T144" s="51"/>
      <c r="V144" s="51"/>
    </row>
    <row r="145" spans="1:32" ht="23.25" x14ac:dyDescent="0.35">
      <c r="A145" s="49"/>
      <c r="B145" s="49"/>
      <c r="C145" s="50"/>
      <c r="D145" s="50"/>
      <c r="E145" s="72"/>
      <c r="F145" s="51"/>
      <c r="G145" s="51"/>
      <c r="H145" s="51"/>
      <c r="J145" s="50"/>
      <c r="K145" s="72"/>
      <c r="L145" s="51"/>
      <c r="M145" s="51"/>
      <c r="N145" s="51"/>
      <c r="P145" s="50"/>
      <c r="Q145" s="72"/>
      <c r="R145" s="51"/>
      <c r="S145" s="51"/>
      <c r="T145" s="51"/>
      <c r="V145" s="51"/>
    </row>
    <row r="146" spans="1:32" ht="23.25" x14ac:dyDescent="0.35">
      <c r="A146" s="49"/>
      <c r="B146" s="49"/>
      <c r="C146" s="50"/>
      <c r="D146" s="50"/>
      <c r="E146" s="72"/>
      <c r="F146" s="51"/>
      <c r="G146" s="51"/>
      <c r="H146" s="51"/>
      <c r="J146" s="50"/>
      <c r="K146" s="72"/>
      <c r="L146" s="51"/>
      <c r="M146" s="51"/>
      <c r="N146" s="51"/>
      <c r="P146" s="50"/>
      <c r="Q146" s="72"/>
      <c r="R146" s="51"/>
      <c r="S146" s="51"/>
      <c r="T146" s="51"/>
      <c r="V146" s="51"/>
    </row>
    <row r="147" spans="1:32" ht="23.25" x14ac:dyDescent="0.35">
      <c r="A147" s="49"/>
      <c r="B147" s="49"/>
      <c r="C147" s="50"/>
      <c r="D147" s="50"/>
      <c r="E147" s="72"/>
      <c r="F147" s="51"/>
      <c r="G147" s="51"/>
      <c r="H147" s="51"/>
      <c r="J147" s="50"/>
      <c r="K147" s="72"/>
      <c r="L147" s="51"/>
      <c r="M147" s="51"/>
      <c r="N147" s="51"/>
      <c r="P147" s="50"/>
      <c r="Q147" s="72"/>
      <c r="R147" s="51"/>
      <c r="S147" s="51"/>
      <c r="T147" s="51"/>
      <c r="V147" s="51"/>
    </row>
    <row r="148" spans="1:32" ht="23.25" x14ac:dyDescent="0.35">
      <c r="A148" s="65"/>
      <c r="B148" s="65"/>
      <c r="C148" s="73"/>
      <c r="D148" s="73"/>
      <c r="E148" s="72"/>
      <c r="F148" s="51"/>
      <c r="G148" s="51"/>
      <c r="H148" s="51"/>
      <c r="J148" s="73"/>
      <c r="K148" s="72"/>
      <c r="L148" s="51"/>
      <c r="M148" s="51"/>
      <c r="N148" s="51"/>
      <c r="P148" s="73"/>
      <c r="Q148" s="72"/>
      <c r="R148" s="51"/>
      <c r="S148" s="51"/>
      <c r="T148" s="51"/>
      <c r="V148" s="51"/>
    </row>
    <row r="149" spans="1:32" ht="23.25" x14ac:dyDescent="0.35">
      <c r="A149" s="65"/>
      <c r="B149" s="65"/>
      <c r="C149" s="73"/>
      <c r="D149" s="73"/>
      <c r="E149" s="72"/>
      <c r="F149" s="51"/>
      <c r="G149" s="51"/>
      <c r="H149" s="51"/>
      <c r="J149" s="73"/>
      <c r="K149" s="72"/>
      <c r="L149" s="51"/>
      <c r="M149" s="51"/>
      <c r="N149" s="51"/>
      <c r="P149" s="73"/>
      <c r="Q149" s="72"/>
      <c r="R149" s="51"/>
      <c r="S149" s="51"/>
      <c r="T149" s="51"/>
      <c r="V149" s="51"/>
    </row>
    <row r="150" spans="1:32" ht="23.25" x14ac:dyDescent="0.35">
      <c r="A150" s="65"/>
      <c r="B150" s="65"/>
      <c r="C150" s="73"/>
      <c r="D150" s="73"/>
      <c r="E150" s="72"/>
      <c r="F150" s="51"/>
      <c r="G150" s="51"/>
      <c r="H150" s="51"/>
      <c r="J150" s="73"/>
      <c r="K150" s="72"/>
      <c r="L150" s="51"/>
      <c r="M150" s="51"/>
      <c r="N150" s="51"/>
      <c r="P150" s="73"/>
      <c r="Q150" s="72"/>
      <c r="R150" s="51"/>
      <c r="S150" s="51"/>
      <c r="T150" s="51"/>
    </row>
    <row r="151" spans="1:32" ht="24" customHeight="1" x14ac:dyDescent="0.35">
      <c r="A151" s="103"/>
      <c r="D151" s="107"/>
      <c r="E151" s="107"/>
      <c r="F151" s="107"/>
      <c r="G151" s="107"/>
      <c r="H151" s="107"/>
      <c r="J151" s="107"/>
      <c r="K151" s="107"/>
      <c r="L151" s="107"/>
      <c r="M151" s="107"/>
      <c r="N151" s="107"/>
      <c r="P151" s="107"/>
      <c r="Q151" s="107"/>
      <c r="R151" s="107"/>
      <c r="S151" s="107"/>
      <c r="T151" s="107"/>
    </row>
    <row r="152" spans="1:32" ht="24" customHeight="1" x14ac:dyDescent="0.35">
      <c r="A152" s="103"/>
      <c r="D152" s="108"/>
      <c r="E152" s="99"/>
      <c r="F152" s="108"/>
      <c r="G152" s="108"/>
      <c r="H152" s="108"/>
      <c r="J152" s="108"/>
      <c r="K152" s="99"/>
      <c r="L152" s="108"/>
      <c r="M152" s="108"/>
      <c r="N152" s="108"/>
      <c r="P152" s="108"/>
      <c r="Q152" s="99"/>
      <c r="R152" s="108"/>
      <c r="S152" s="108"/>
      <c r="T152" s="108"/>
      <c r="V152" s="51"/>
    </row>
    <row r="153" spans="1:32" ht="24" customHeight="1" x14ac:dyDescent="0.35">
      <c r="A153" s="103"/>
      <c r="D153" s="108"/>
      <c r="E153" s="108"/>
      <c r="F153" s="108"/>
      <c r="G153" s="108"/>
      <c r="H153" s="108"/>
      <c r="J153" s="108"/>
      <c r="K153" s="108"/>
      <c r="L153" s="108"/>
      <c r="M153" s="108"/>
      <c r="N153" s="108"/>
      <c r="P153" s="108"/>
      <c r="Q153" s="108"/>
      <c r="R153" s="108"/>
      <c r="S153" s="108"/>
      <c r="T153" s="108"/>
    </row>
    <row r="154" spans="1:32" ht="24" customHeight="1" x14ac:dyDescent="0.35">
      <c r="A154" s="103"/>
    </row>
    <row r="155" spans="1:32" ht="24" customHeight="1" x14ac:dyDescent="0.25"/>
    <row r="156" spans="1:32" ht="23.1" customHeight="1" x14ac:dyDescent="0.25"/>
    <row r="157" spans="1:32" ht="23.25" x14ac:dyDescent="0.25">
      <c r="A157" s="40"/>
      <c r="B157" s="40"/>
      <c r="C157" s="40"/>
      <c r="D157" s="40"/>
      <c r="E157" s="122"/>
      <c r="F157" s="40"/>
      <c r="G157" s="40"/>
      <c r="H157" s="40"/>
      <c r="J157" s="122"/>
      <c r="K157" s="40"/>
      <c r="L157" s="40"/>
      <c r="M157" s="40"/>
      <c r="N157" s="40"/>
      <c r="O157" s="40"/>
      <c r="P157" s="122"/>
      <c r="Q157" s="40"/>
      <c r="R157" s="40"/>
      <c r="S157" s="40"/>
      <c r="T157" s="40"/>
      <c r="V157" s="122"/>
      <c r="W157" s="122"/>
      <c r="X157" s="40"/>
      <c r="Y157" s="40"/>
      <c r="Z157" s="40"/>
      <c r="AB157" s="122"/>
      <c r="AC157" s="40"/>
      <c r="AD157" s="40"/>
      <c r="AE157" s="40"/>
      <c r="AF157" s="40"/>
    </row>
    <row r="158" spans="1:32" ht="23.25" x14ac:dyDescent="0.25">
      <c r="A158" s="40"/>
      <c r="B158" s="40"/>
      <c r="C158" s="40"/>
      <c r="D158" s="40"/>
      <c r="E158" s="122"/>
      <c r="F158" s="40"/>
      <c r="G158" s="40"/>
      <c r="H158" s="40"/>
      <c r="J158" s="122"/>
      <c r="K158" s="40"/>
      <c r="L158" s="40"/>
      <c r="M158" s="40"/>
      <c r="N158" s="40"/>
      <c r="O158" s="40"/>
      <c r="P158" s="122"/>
      <c r="Q158" s="40"/>
      <c r="R158" s="40"/>
      <c r="S158" s="40"/>
      <c r="T158" s="40"/>
      <c r="V158" s="122"/>
      <c r="W158" s="122"/>
      <c r="X158" s="40"/>
      <c r="Y158" s="40"/>
      <c r="Z158" s="40"/>
      <c r="AB158" s="122"/>
      <c r="AC158" s="40"/>
      <c r="AD158" s="40"/>
      <c r="AE158" s="40"/>
      <c r="AF158" s="40"/>
    </row>
    <row r="159" spans="1:32" ht="23.25" x14ac:dyDescent="0.35">
      <c r="A159" s="7"/>
      <c r="B159" s="7"/>
      <c r="C159" s="7"/>
      <c r="D159" s="7"/>
      <c r="E159" s="7"/>
      <c r="F159" s="7"/>
      <c r="G159" s="6"/>
      <c r="H159" s="6"/>
      <c r="J159" s="7"/>
      <c r="K159" s="7"/>
      <c r="L159" s="7"/>
      <c r="M159" s="6"/>
      <c r="N159" s="6"/>
      <c r="O159" s="7"/>
      <c r="P159" s="7"/>
      <c r="Q159" s="7"/>
      <c r="R159" s="7"/>
      <c r="S159" s="6"/>
      <c r="T159" s="6"/>
      <c r="V159" s="7"/>
      <c r="W159" s="7"/>
      <c r="X159" s="7"/>
      <c r="Y159" s="6"/>
      <c r="Z159" s="6"/>
      <c r="AB159" s="7"/>
      <c r="AC159" s="7"/>
      <c r="AD159" s="7"/>
      <c r="AE159" s="6"/>
      <c r="AF159" s="6"/>
    </row>
    <row r="160" spans="1:32" ht="23.25" x14ac:dyDescent="0.35">
      <c r="A160" s="49"/>
      <c r="B160" s="49"/>
      <c r="C160" s="50"/>
      <c r="D160" s="51"/>
      <c r="E160" s="52"/>
      <c r="F160" s="51"/>
      <c r="G160" s="51"/>
      <c r="H160" s="81"/>
      <c r="J160" s="51"/>
      <c r="K160" s="52"/>
      <c r="L160" s="51"/>
      <c r="M160" s="51"/>
      <c r="N160" s="81"/>
      <c r="O160" s="58"/>
      <c r="P160" s="51"/>
      <c r="Q160" s="52"/>
      <c r="R160" s="51"/>
      <c r="S160" s="51"/>
      <c r="T160" s="81"/>
      <c r="V160" s="51"/>
      <c r="W160" s="60"/>
    </row>
    <row r="161" spans="1:32" ht="23.25" x14ac:dyDescent="0.35">
      <c r="A161" s="49"/>
      <c r="B161" s="49"/>
      <c r="C161" s="50"/>
      <c r="D161" s="51"/>
      <c r="E161" s="52"/>
      <c r="F161" s="51"/>
      <c r="G161" s="51"/>
      <c r="H161" s="81"/>
      <c r="J161" s="51"/>
      <c r="K161" s="52"/>
      <c r="L161" s="51"/>
      <c r="M161" s="51"/>
      <c r="N161" s="81"/>
      <c r="O161" s="62"/>
      <c r="P161" s="51"/>
      <c r="Q161" s="52"/>
      <c r="R161" s="51"/>
      <c r="S161" s="51"/>
      <c r="T161" s="81"/>
      <c r="V161" s="51"/>
      <c r="W161" s="60"/>
    </row>
    <row r="162" spans="1:32" ht="23.25" x14ac:dyDescent="0.35">
      <c r="A162" s="73"/>
      <c r="B162" s="65"/>
      <c r="C162" s="73"/>
      <c r="D162" s="51"/>
      <c r="E162" s="52"/>
      <c r="F162" s="51"/>
      <c r="G162" s="51"/>
      <c r="H162" s="51"/>
      <c r="J162" s="51"/>
      <c r="K162" s="52"/>
      <c r="L162" s="51"/>
      <c r="M162" s="51"/>
      <c r="N162" s="51"/>
      <c r="O162" s="62"/>
      <c r="P162" s="51"/>
      <c r="Q162" s="52"/>
      <c r="R162" s="51"/>
      <c r="S162" s="51"/>
      <c r="T162" s="51"/>
      <c r="V162" s="51"/>
      <c r="W162" s="60"/>
    </row>
    <row r="163" spans="1:32" ht="23.25" x14ac:dyDescent="0.35">
      <c r="A163" s="49"/>
      <c r="B163" s="65"/>
      <c r="C163" s="50"/>
      <c r="D163" s="51"/>
      <c r="E163" s="52"/>
      <c r="F163" s="51"/>
      <c r="G163" s="51"/>
      <c r="H163" s="51"/>
      <c r="J163" s="51"/>
      <c r="K163" s="52"/>
      <c r="L163" s="51"/>
      <c r="M163" s="51"/>
      <c r="N163" s="51"/>
      <c r="O163" s="62"/>
      <c r="P163" s="51"/>
      <c r="Q163" s="52"/>
      <c r="R163" s="51"/>
      <c r="S163" s="51"/>
      <c r="T163" s="51"/>
      <c r="V163" s="51"/>
      <c r="W163" s="60"/>
      <c r="X163" s="51"/>
      <c r="Y163" s="51"/>
      <c r="Z163" s="51"/>
      <c r="AB163" s="51"/>
      <c r="AC163" s="72"/>
      <c r="AD163" s="51"/>
      <c r="AE163" s="51"/>
      <c r="AF163" s="51"/>
    </row>
    <row r="164" spans="1:32" ht="23.25" x14ac:dyDescent="0.35">
      <c r="A164" s="49"/>
      <c r="B164" s="65"/>
      <c r="C164" s="50"/>
      <c r="D164" s="51"/>
      <c r="E164" s="52"/>
      <c r="F164" s="51"/>
      <c r="G164" s="51"/>
      <c r="H164" s="51"/>
      <c r="J164" s="51"/>
      <c r="K164" s="52"/>
      <c r="L164" s="51"/>
      <c r="M164" s="51"/>
      <c r="N164" s="51"/>
      <c r="O164" s="62"/>
      <c r="P164" s="51"/>
      <c r="Q164" s="52"/>
      <c r="R164" s="51"/>
      <c r="S164" s="51"/>
      <c r="T164" s="51"/>
      <c r="V164" s="51"/>
      <c r="W164" s="60"/>
      <c r="X164" s="51"/>
      <c r="Y164" s="51"/>
      <c r="Z164" s="51"/>
      <c r="AB164" s="50"/>
      <c r="AC164" s="72"/>
      <c r="AD164" s="51"/>
      <c r="AE164" s="51"/>
      <c r="AF164" s="51"/>
    </row>
    <row r="165" spans="1:32" ht="23.25" x14ac:dyDescent="0.35">
      <c r="A165" s="49"/>
      <c r="B165" s="65"/>
      <c r="C165" s="50"/>
      <c r="D165" s="51"/>
      <c r="E165" s="52"/>
      <c r="F165" s="51"/>
      <c r="G165" s="51"/>
      <c r="H165" s="51"/>
      <c r="J165" s="51"/>
      <c r="K165" s="52"/>
      <c r="L165" s="51"/>
      <c r="M165" s="51"/>
      <c r="N165" s="51"/>
      <c r="O165" s="62"/>
      <c r="P165" s="51"/>
      <c r="Q165" s="52"/>
      <c r="R165" s="51"/>
      <c r="S165" s="51"/>
      <c r="T165" s="51"/>
      <c r="V165" s="51"/>
      <c r="W165" s="60"/>
      <c r="X165" s="51"/>
      <c r="Y165" s="51"/>
      <c r="Z165" s="51"/>
      <c r="AB165" s="50"/>
      <c r="AC165" s="72"/>
      <c r="AD165" s="51"/>
      <c r="AE165" s="51"/>
      <c r="AF165" s="51"/>
    </row>
    <row r="166" spans="1:32" ht="23.25" x14ac:dyDescent="0.35">
      <c r="A166" s="49"/>
      <c r="B166" s="65"/>
      <c r="C166" s="50"/>
      <c r="D166" s="51"/>
      <c r="E166" s="52"/>
      <c r="F166" s="51"/>
      <c r="G166" s="51"/>
      <c r="H166" s="51"/>
      <c r="J166" s="51"/>
      <c r="K166" s="52"/>
      <c r="L166" s="51"/>
      <c r="M166" s="51"/>
      <c r="N166" s="51"/>
      <c r="O166" s="62"/>
      <c r="P166" s="51"/>
      <c r="Q166" s="52"/>
      <c r="R166" s="51"/>
      <c r="S166" s="51"/>
      <c r="T166" s="51"/>
      <c r="V166" s="51"/>
      <c r="W166" s="60"/>
      <c r="X166" s="51"/>
      <c r="Y166" s="51"/>
      <c r="Z166" s="51"/>
      <c r="AB166" s="50"/>
      <c r="AC166" s="72"/>
      <c r="AD166" s="51"/>
      <c r="AE166" s="51"/>
      <c r="AF166" s="51"/>
    </row>
    <row r="167" spans="1:32" ht="23.25" x14ac:dyDescent="0.35">
      <c r="A167" s="65"/>
      <c r="B167" s="65"/>
      <c r="C167" s="50"/>
      <c r="D167" s="51"/>
      <c r="E167" s="52"/>
      <c r="F167" s="51"/>
      <c r="G167" s="51"/>
      <c r="H167" s="51"/>
      <c r="J167" s="51"/>
      <c r="K167" s="52"/>
      <c r="L167" s="51"/>
      <c r="M167" s="51"/>
      <c r="N167" s="51"/>
      <c r="O167" s="62"/>
      <c r="P167" s="51"/>
      <c r="Q167" s="52"/>
      <c r="R167" s="51"/>
      <c r="S167" s="51"/>
      <c r="T167" s="51"/>
      <c r="V167" s="51"/>
      <c r="W167" s="60"/>
      <c r="X167" s="51"/>
      <c r="Y167" s="51"/>
      <c r="Z167" s="51"/>
      <c r="AB167" s="106"/>
      <c r="AC167" s="72"/>
      <c r="AD167" s="51"/>
      <c r="AE167" s="51"/>
      <c r="AF167" s="51"/>
    </row>
    <row r="168" spans="1:32" ht="23.25" x14ac:dyDescent="0.35">
      <c r="A168" s="65"/>
      <c r="B168" s="65"/>
      <c r="C168" s="73"/>
      <c r="D168" s="51"/>
      <c r="E168" s="52"/>
      <c r="F168" s="51"/>
      <c r="G168" s="51"/>
      <c r="H168" s="51"/>
      <c r="J168" s="62"/>
      <c r="K168" s="52"/>
      <c r="L168" s="51"/>
      <c r="M168" s="51"/>
      <c r="N168" s="51"/>
      <c r="O168" s="62"/>
      <c r="P168" s="51"/>
      <c r="Q168" s="52"/>
      <c r="R168" s="51"/>
      <c r="S168" s="51"/>
      <c r="T168" s="51"/>
      <c r="V168" s="51"/>
      <c r="W168" s="60"/>
      <c r="X168" s="51"/>
      <c r="Y168" s="51"/>
      <c r="Z168" s="51"/>
      <c r="AB168" s="106"/>
      <c r="AC168" s="72"/>
      <c r="AD168" s="51"/>
      <c r="AE168" s="51"/>
      <c r="AF168" s="51"/>
    </row>
    <row r="169" spans="1:32" ht="23.25" x14ac:dyDescent="0.35">
      <c r="A169" s="65"/>
      <c r="B169" s="65"/>
      <c r="C169" s="73"/>
      <c r="D169" s="51"/>
      <c r="E169" s="52"/>
      <c r="F169" s="51"/>
      <c r="G169" s="51"/>
      <c r="H169" s="51"/>
      <c r="J169" s="62"/>
      <c r="K169" s="52"/>
      <c r="L169" s="51"/>
      <c r="M169" s="51"/>
      <c r="N169" s="51"/>
      <c r="O169" s="62"/>
      <c r="P169" s="51"/>
      <c r="Q169" s="52"/>
      <c r="R169" s="51"/>
      <c r="S169" s="51"/>
      <c r="T169" s="51"/>
      <c r="V169" s="51"/>
      <c r="W169" s="60"/>
      <c r="X169" s="51"/>
      <c r="Y169" s="51"/>
      <c r="Z169" s="51"/>
      <c r="AB169" s="50"/>
      <c r="AC169" s="72"/>
      <c r="AD169" s="51"/>
      <c r="AE169" s="51"/>
      <c r="AF169" s="51"/>
    </row>
    <row r="170" spans="1:32" ht="23.25" x14ac:dyDescent="0.35">
      <c r="A170" s="65"/>
      <c r="B170" s="65"/>
      <c r="C170" s="73"/>
      <c r="D170" s="51"/>
      <c r="E170" s="52"/>
      <c r="F170" s="51"/>
      <c r="G170" s="51"/>
      <c r="H170" s="51"/>
      <c r="J170" s="62"/>
      <c r="K170" s="52"/>
      <c r="L170" s="51"/>
      <c r="M170" s="51"/>
      <c r="N170" s="51"/>
      <c r="O170" s="62"/>
      <c r="P170" s="51"/>
      <c r="Q170" s="52"/>
      <c r="R170" s="51"/>
      <c r="S170" s="51"/>
      <c r="T170" s="51"/>
      <c r="V170" s="51"/>
      <c r="W170" s="60"/>
      <c r="X170" s="51"/>
      <c r="Y170" s="51"/>
      <c r="Z170" s="51"/>
      <c r="AB170" s="50"/>
      <c r="AC170" s="72"/>
      <c r="AD170" s="51"/>
      <c r="AE170" s="51"/>
      <c r="AF170" s="51"/>
    </row>
    <row r="171" spans="1:32" ht="23.25" x14ac:dyDescent="0.35">
      <c r="A171" s="65"/>
      <c r="B171" s="65"/>
      <c r="C171" s="73"/>
      <c r="D171" s="51"/>
      <c r="E171" s="52"/>
      <c r="F171" s="51"/>
      <c r="G171" s="51"/>
      <c r="H171" s="51"/>
      <c r="J171" s="62"/>
      <c r="K171" s="52"/>
      <c r="L171" s="51"/>
      <c r="M171" s="51"/>
      <c r="N171" s="51"/>
      <c r="O171" s="62"/>
      <c r="P171" s="51"/>
      <c r="Q171" s="52"/>
      <c r="R171" s="51"/>
      <c r="S171" s="51"/>
      <c r="T171" s="51"/>
      <c r="V171" s="51"/>
      <c r="W171" s="60"/>
      <c r="X171" s="51"/>
      <c r="Y171" s="51"/>
      <c r="Z171" s="51"/>
      <c r="AB171" s="50"/>
      <c r="AC171" s="72"/>
      <c r="AD171" s="51"/>
      <c r="AE171" s="51"/>
      <c r="AF171" s="51"/>
    </row>
    <row r="172" spans="1:32" ht="23.25" x14ac:dyDescent="0.35">
      <c r="A172" s="65"/>
      <c r="B172" s="65"/>
      <c r="C172" s="73"/>
      <c r="D172" s="51"/>
      <c r="E172" s="52"/>
      <c r="F172" s="51"/>
      <c r="G172" s="51"/>
      <c r="H172" s="51"/>
      <c r="J172" s="51"/>
      <c r="K172" s="52"/>
      <c r="L172" s="51"/>
      <c r="M172" s="51"/>
      <c r="N172" s="51"/>
      <c r="O172" s="62"/>
      <c r="P172" s="51"/>
      <c r="Q172" s="52"/>
      <c r="R172" s="51"/>
      <c r="S172" s="51"/>
      <c r="T172" s="51"/>
      <c r="V172" s="51"/>
      <c r="W172" s="60"/>
      <c r="X172" s="51"/>
      <c r="Y172" s="51"/>
      <c r="Z172" s="51"/>
      <c r="AB172" s="73"/>
      <c r="AC172" s="72"/>
      <c r="AD172" s="51"/>
      <c r="AE172" s="51"/>
      <c r="AF172" s="51"/>
    </row>
    <row r="173" spans="1:32" ht="23.25" x14ac:dyDescent="0.35">
      <c r="A173" s="65"/>
      <c r="B173" s="65"/>
      <c r="C173" s="73"/>
      <c r="D173" s="51"/>
      <c r="E173" s="52"/>
      <c r="F173" s="51"/>
      <c r="G173" s="51"/>
      <c r="H173" s="51"/>
      <c r="J173" s="51"/>
      <c r="K173" s="52"/>
      <c r="L173" s="51"/>
      <c r="M173" s="51"/>
      <c r="N173" s="51"/>
      <c r="O173" s="62"/>
      <c r="P173" s="51"/>
      <c r="Q173" s="52"/>
      <c r="R173" s="51"/>
      <c r="S173" s="51"/>
      <c r="T173" s="51"/>
      <c r="V173" s="51"/>
      <c r="W173" s="60"/>
      <c r="X173" s="51"/>
      <c r="Y173" s="51"/>
      <c r="Z173" s="51"/>
      <c r="AB173" s="73"/>
      <c r="AC173" s="72"/>
      <c r="AD173" s="51"/>
      <c r="AE173" s="51"/>
      <c r="AF173" s="51"/>
    </row>
    <row r="174" spans="1:32" ht="23.25" x14ac:dyDescent="0.35">
      <c r="A174" s="65"/>
      <c r="B174" s="65"/>
      <c r="C174" s="73"/>
      <c r="D174" s="51"/>
      <c r="E174" s="52"/>
      <c r="F174" s="51"/>
      <c r="G174" s="51"/>
      <c r="H174" s="51"/>
      <c r="J174" s="51"/>
      <c r="K174" s="52"/>
      <c r="L174" s="51"/>
      <c r="M174" s="51"/>
      <c r="N174" s="51"/>
      <c r="O174" s="62"/>
      <c r="P174" s="51"/>
      <c r="Q174" s="52"/>
      <c r="R174" s="51"/>
      <c r="S174" s="51"/>
      <c r="T174" s="51"/>
      <c r="V174" s="51"/>
      <c r="W174" s="60"/>
      <c r="X174" s="51"/>
      <c r="Y174" s="51"/>
      <c r="Z174" s="51"/>
      <c r="AB174" s="73"/>
      <c r="AC174" s="72"/>
      <c r="AD174" s="51"/>
      <c r="AE174" s="51"/>
      <c r="AF174" s="51"/>
    </row>
    <row r="175" spans="1:32" ht="23.25" x14ac:dyDescent="0.35">
      <c r="A175" s="65"/>
      <c r="B175" s="65"/>
      <c r="C175" s="73"/>
      <c r="D175" s="51"/>
      <c r="E175" s="52"/>
      <c r="F175" s="51"/>
      <c r="G175" s="51"/>
      <c r="H175" s="51"/>
      <c r="J175" s="51"/>
      <c r="K175" s="52"/>
      <c r="L175" s="51"/>
      <c r="M175" s="51"/>
      <c r="N175" s="51"/>
      <c r="O175" s="77"/>
      <c r="P175" s="51"/>
      <c r="Q175" s="52"/>
      <c r="R175" s="51"/>
      <c r="S175" s="51"/>
      <c r="T175" s="51"/>
      <c r="V175" s="51"/>
      <c r="W175" s="60"/>
      <c r="X175" s="77"/>
      <c r="Y175" s="77"/>
      <c r="Z175" s="77"/>
      <c r="AB175" s="77"/>
      <c r="AC175" s="77"/>
      <c r="AD175" s="77"/>
      <c r="AE175" s="77"/>
      <c r="AF175" s="77"/>
    </row>
    <row r="176" spans="1:32" ht="23.25" x14ac:dyDescent="0.35">
      <c r="A176" s="65"/>
      <c r="B176" s="75"/>
      <c r="C176" s="76"/>
      <c r="D176" s="77"/>
      <c r="E176" s="77"/>
      <c r="F176" s="77"/>
      <c r="G176" s="77"/>
      <c r="H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V176" s="51"/>
      <c r="W176" s="77"/>
      <c r="X176" s="77"/>
      <c r="Y176" s="77"/>
      <c r="Z176" s="77"/>
      <c r="AB176" s="77"/>
      <c r="AC176" s="77"/>
      <c r="AD176" s="77"/>
      <c r="AE176" s="77"/>
      <c r="AF176" s="77"/>
    </row>
    <row r="177" spans="1:32" ht="23.25" x14ac:dyDescent="0.35">
      <c r="A177" s="65"/>
      <c r="B177" s="75"/>
      <c r="C177" s="76"/>
      <c r="D177" s="77"/>
      <c r="E177" s="77"/>
      <c r="F177" s="77"/>
      <c r="G177" s="77"/>
      <c r="H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V177" s="51"/>
      <c r="W177" s="77"/>
      <c r="X177" s="77"/>
      <c r="Y177" s="77"/>
      <c r="Z177" s="77"/>
      <c r="AB177" s="77"/>
      <c r="AC177" s="77"/>
      <c r="AD177" s="77"/>
      <c r="AE177" s="77"/>
      <c r="AF177" s="77"/>
    </row>
    <row r="178" spans="1:32" ht="23.25" x14ac:dyDescent="0.35">
      <c r="A178" s="65"/>
      <c r="B178" s="75"/>
      <c r="C178" s="76"/>
      <c r="D178" s="77"/>
      <c r="E178" s="77"/>
      <c r="F178" s="77"/>
      <c r="G178" s="77"/>
      <c r="H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V178" s="51"/>
      <c r="W178" s="77"/>
      <c r="X178" s="77"/>
      <c r="Y178" s="77"/>
      <c r="Z178" s="77"/>
      <c r="AB178" s="77"/>
      <c r="AC178" s="77"/>
      <c r="AD178" s="77"/>
      <c r="AE178" s="77"/>
      <c r="AF178" s="77"/>
    </row>
    <row r="179" spans="1:32" ht="23.25" x14ac:dyDescent="0.35">
      <c r="A179" s="100"/>
      <c r="B179" s="75"/>
      <c r="C179" s="76"/>
      <c r="D179" s="77"/>
      <c r="E179" s="77"/>
      <c r="F179" s="77"/>
      <c r="G179" s="77"/>
      <c r="H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V179" s="77"/>
      <c r="W179" s="77"/>
      <c r="X179" s="77"/>
      <c r="Y179" s="77"/>
      <c r="Z179" s="77"/>
      <c r="AB179" s="77"/>
      <c r="AC179" s="77"/>
      <c r="AD179" s="77"/>
      <c r="AE179" s="77"/>
      <c r="AF179" s="77"/>
    </row>
    <row r="180" spans="1:32" ht="23.25" x14ac:dyDescent="0.35">
      <c r="A180" s="103"/>
      <c r="B180" s="75"/>
      <c r="C180" s="76"/>
      <c r="D180" s="81"/>
      <c r="E180" s="81"/>
      <c r="F180" s="81"/>
      <c r="G180" s="81"/>
      <c r="H180" s="81"/>
      <c r="J180" s="81"/>
      <c r="K180" s="81"/>
      <c r="L180" s="81"/>
      <c r="M180" s="81"/>
      <c r="N180" s="81"/>
      <c r="O180" s="51"/>
      <c r="P180" s="81"/>
      <c r="Q180" s="81"/>
      <c r="R180" s="81"/>
      <c r="S180" s="81"/>
      <c r="T180" s="81"/>
      <c r="V180" s="51"/>
      <c r="W180" s="51"/>
      <c r="X180" s="51"/>
      <c r="Y180" s="51"/>
      <c r="Z180" s="51"/>
      <c r="AB180" s="51"/>
      <c r="AC180" s="51"/>
      <c r="AD180" s="51"/>
      <c r="AE180" s="51"/>
      <c r="AF180" s="51"/>
    </row>
    <row r="181" spans="1:32" ht="23.25" x14ac:dyDescent="0.35">
      <c r="A181" s="103"/>
      <c r="B181" s="75"/>
      <c r="C181" s="76"/>
      <c r="D181" s="62"/>
      <c r="E181" s="99"/>
      <c r="F181" s="62"/>
      <c r="G181" s="62"/>
      <c r="H181" s="62"/>
      <c r="J181" s="62"/>
      <c r="K181" s="99"/>
      <c r="L181" s="62"/>
      <c r="M181" s="62"/>
      <c r="N181" s="62"/>
      <c r="O181" s="58"/>
      <c r="P181" s="62"/>
      <c r="Q181" s="99"/>
      <c r="R181" s="62"/>
      <c r="S181" s="62"/>
      <c r="T181" s="62"/>
      <c r="V181" s="81"/>
      <c r="W181" s="52"/>
      <c r="X181" s="62"/>
      <c r="Y181" s="62"/>
      <c r="Z181" s="62"/>
      <c r="AB181" s="81"/>
      <c r="AC181" s="52"/>
      <c r="AD181" s="62"/>
      <c r="AE181" s="62"/>
      <c r="AF181" s="62"/>
    </row>
    <row r="182" spans="1:32" ht="23.25" x14ac:dyDescent="0.35">
      <c r="A182" s="103"/>
      <c r="B182" s="75"/>
      <c r="C182" s="76"/>
      <c r="D182" s="62"/>
      <c r="E182" s="62"/>
      <c r="F182" s="62"/>
      <c r="G182" s="62"/>
      <c r="H182" s="62"/>
      <c r="J182" s="62"/>
      <c r="K182" s="62"/>
      <c r="L182" s="62"/>
      <c r="M182" s="62"/>
      <c r="N182" s="62"/>
      <c r="O182" s="58"/>
      <c r="P182" s="62"/>
      <c r="Q182" s="62"/>
      <c r="R182" s="62"/>
      <c r="S182" s="62"/>
      <c r="T182" s="62"/>
      <c r="V182" s="81"/>
      <c r="W182" s="62"/>
      <c r="X182" s="62"/>
      <c r="Y182" s="62"/>
      <c r="Z182" s="62"/>
      <c r="AB182" s="81"/>
      <c r="AC182" s="62"/>
      <c r="AD182" s="62"/>
      <c r="AE182" s="62"/>
      <c r="AF182" s="62"/>
    </row>
    <row r="183" spans="1:32" ht="23.25" x14ac:dyDescent="0.35">
      <c r="A183" s="103"/>
      <c r="B183" s="75"/>
      <c r="C183" s="76"/>
      <c r="D183" s="109"/>
      <c r="E183" s="109"/>
      <c r="F183" s="60"/>
      <c r="G183" s="60"/>
      <c r="H183" s="60"/>
      <c r="J183" s="77"/>
      <c r="K183" s="77"/>
      <c r="L183" s="81"/>
      <c r="M183" s="58"/>
      <c r="N183" s="58"/>
      <c r="O183" s="58"/>
      <c r="P183" s="77"/>
      <c r="Q183" s="77"/>
      <c r="R183" s="81"/>
      <c r="S183" s="58"/>
      <c r="T183" s="58"/>
      <c r="V183" s="77"/>
      <c r="W183" s="77"/>
      <c r="X183" s="81"/>
      <c r="Y183" s="58"/>
      <c r="Z183" s="58"/>
      <c r="AB183" s="77"/>
      <c r="AC183" s="77"/>
      <c r="AD183" s="81"/>
      <c r="AE183" s="58"/>
      <c r="AF183" s="58"/>
    </row>
    <row r="186" spans="1:32" ht="23.25" x14ac:dyDescent="0.25">
      <c r="A186" s="40"/>
      <c r="B186" s="40"/>
      <c r="C186" s="40"/>
      <c r="D186" s="40"/>
      <c r="E186" s="122"/>
      <c r="F186" s="40"/>
      <c r="G186" s="40"/>
      <c r="H186" s="40"/>
      <c r="J186" s="122"/>
      <c r="K186" s="40"/>
      <c r="L186" s="40"/>
      <c r="M186" s="40"/>
      <c r="N186" s="40"/>
      <c r="O186" s="40"/>
      <c r="P186" s="122"/>
      <c r="Q186" s="40"/>
      <c r="R186" s="40"/>
      <c r="S186" s="40"/>
      <c r="T186" s="40"/>
      <c r="V186" s="122"/>
      <c r="W186" s="122"/>
      <c r="X186" s="40"/>
      <c r="Y186" s="40"/>
      <c r="Z186" s="40"/>
      <c r="AB186" s="122"/>
      <c r="AC186" s="40"/>
      <c r="AD186" s="40"/>
      <c r="AE186" s="40"/>
      <c r="AF186" s="40"/>
    </row>
    <row r="187" spans="1:32" ht="23.25" x14ac:dyDescent="0.25">
      <c r="A187" s="40"/>
      <c r="B187" s="40"/>
      <c r="C187" s="40"/>
      <c r="D187" s="40"/>
      <c r="E187" s="122"/>
      <c r="F187" s="40"/>
      <c r="G187" s="40"/>
      <c r="H187" s="40"/>
      <c r="J187" s="122"/>
      <c r="K187" s="40"/>
      <c r="L187" s="40"/>
      <c r="M187" s="40"/>
      <c r="N187" s="40"/>
      <c r="O187" s="40"/>
      <c r="P187" s="122"/>
      <c r="Q187" s="40"/>
      <c r="R187" s="40"/>
      <c r="S187" s="40"/>
      <c r="T187" s="40"/>
      <c r="V187" s="122"/>
      <c r="W187" s="122"/>
      <c r="X187" s="40"/>
      <c r="Y187" s="40"/>
      <c r="Z187" s="40"/>
      <c r="AB187" s="122"/>
      <c r="AC187" s="40"/>
      <c r="AD187" s="40"/>
      <c r="AE187" s="40"/>
      <c r="AF187" s="40"/>
    </row>
    <row r="188" spans="1:32" ht="23.25" x14ac:dyDescent="0.35">
      <c r="A188" s="7"/>
      <c r="B188" s="7"/>
      <c r="C188" s="7"/>
      <c r="D188" s="7"/>
      <c r="E188" s="7"/>
      <c r="F188" s="7"/>
      <c r="G188" s="6"/>
      <c r="H188" s="6"/>
      <c r="J188" s="7"/>
      <c r="K188" s="7"/>
      <c r="L188" s="7"/>
      <c r="M188" s="6"/>
      <c r="N188" s="6"/>
      <c r="O188" s="7"/>
      <c r="P188" s="7"/>
      <c r="Q188" s="7"/>
      <c r="R188" s="7"/>
      <c r="S188" s="6"/>
      <c r="T188" s="6"/>
      <c r="V188" s="7"/>
      <c r="W188" s="7"/>
      <c r="X188" s="7"/>
      <c r="Y188" s="6"/>
      <c r="Z188" s="6"/>
      <c r="AB188" s="7"/>
      <c r="AC188" s="7"/>
      <c r="AD188" s="7"/>
      <c r="AE188" s="6"/>
      <c r="AF188" s="6"/>
    </row>
    <row r="189" spans="1:32" ht="23.25" x14ac:dyDescent="0.35">
      <c r="A189" s="49"/>
      <c r="B189" s="49"/>
      <c r="C189" s="50"/>
      <c r="D189" s="51"/>
      <c r="E189" s="52"/>
      <c r="F189" s="51"/>
      <c r="G189" s="51"/>
      <c r="H189" s="81"/>
      <c r="J189" s="51"/>
      <c r="K189" s="52"/>
      <c r="L189" s="51"/>
      <c r="M189" s="51"/>
      <c r="N189" s="81"/>
      <c r="O189" s="58"/>
      <c r="P189" s="51"/>
      <c r="Q189" s="52"/>
      <c r="R189" s="51"/>
      <c r="S189" s="51"/>
      <c r="T189" s="81"/>
      <c r="V189" s="51"/>
      <c r="W189" s="60"/>
    </row>
    <row r="190" spans="1:32" ht="23.25" x14ac:dyDescent="0.35">
      <c r="A190" s="49"/>
      <c r="B190" s="49"/>
      <c r="C190" s="50"/>
      <c r="D190" s="51"/>
      <c r="E190" s="52"/>
      <c r="F190" s="51"/>
      <c r="G190" s="51"/>
      <c r="H190" s="81"/>
      <c r="J190" s="51"/>
      <c r="K190" s="52"/>
      <c r="L190" s="51"/>
      <c r="M190" s="51"/>
      <c r="N190" s="51"/>
      <c r="O190" s="62"/>
      <c r="P190" s="51"/>
      <c r="Q190" s="52"/>
      <c r="R190" s="51"/>
      <c r="S190" s="51"/>
      <c r="T190" s="81"/>
      <c r="V190" s="51"/>
      <c r="W190" s="60"/>
    </row>
    <row r="191" spans="1:32" ht="23.25" x14ac:dyDescent="0.35">
      <c r="A191" s="49"/>
      <c r="B191" s="49"/>
      <c r="C191" s="50"/>
      <c r="D191" s="51"/>
      <c r="E191" s="52"/>
      <c r="F191" s="51"/>
      <c r="G191" s="51"/>
      <c r="H191" s="51"/>
      <c r="J191" s="51"/>
      <c r="K191" s="52"/>
      <c r="L191" s="51"/>
      <c r="M191" s="51"/>
      <c r="N191" s="51"/>
      <c r="O191" s="62"/>
      <c r="P191" s="62"/>
      <c r="Q191" s="52"/>
      <c r="R191" s="51"/>
      <c r="S191" s="51"/>
      <c r="T191" s="51"/>
      <c r="V191" s="62"/>
      <c r="W191" s="60"/>
      <c r="X191" s="51"/>
      <c r="Y191" s="51"/>
      <c r="Z191" s="60"/>
      <c r="AB191" s="51"/>
      <c r="AC191" s="72"/>
      <c r="AD191" s="51"/>
      <c r="AE191" s="51"/>
      <c r="AF191" s="60"/>
    </row>
    <row r="192" spans="1:32" ht="23.25" x14ac:dyDescent="0.35">
      <c r="A192" s="49"/>
      <c r="B192" s="49"/>
      <c r="C192" s="50"/>
      <c r="D192" s="51"/>
      <c r="E192" s="52"/>
      <c r="F192" s="51"/>
      <c r="G192" s="51"/>
      <c r="H192" s="51"/>
      <c r="J192" s="51"/>
      <c r="K192" s="52"/>
      <c r="L192" s="51"/>
      <c r="M192" s="51"/>
      <c r="N192" s="51"/>
      <c r="O192" s="62"/>
      <c r="P192" s="51"/>
      <c r="Q192" s="52"/>
      <c r="R192" s="51"/>
      <c r="S192" s="51"/>
      <c r="T192" s="51"/>
      <c r="V192" s="51"/>
      <c r="W192" s="60"/>
      <c r="X192" s="51"/>
      <c r="Y192" s="51"/>
      <c r="Z192" s="51"/>
      <c r="AB192" s="50"/>
      <c r="AC192" s="72"/>
      <c r="AD192" s="51"/>
      <c r="AE192" s="51"/>
      <c r="AF192" s="51"/>
    </row>
    <row r="193" spans="1:32" ht="23.25" x14ac:dyDescent="0.35">
      <c r="A193" s="73"/>
      <c r="B193" s="49"/>
      <c r="C193" s="50"/>
      <c r="D193" s="51"/>
      <c r="E193" s="52"/>
      <c r="F193" s="51"/>
      <c r="G193" s="51"/>
      <c r="H193" s="51"/>
      <c r="J193" s="51"/>
      <c r="K193" s="52"/>
      <c r="L193" s="51"/>
      <c r="M193" s="51"/>
      <c r="N193" s="51"/>
      <c r="O193" s="62"/>
      <c r="P193" s="51"/>
      <c r="Q193" s="52"/>
      <c r="R193" s="51"/>
      <c r="S193" s="51"/>
      <c r="T193" s="51"/>
      <c r="V193" s="51"/>
      <c r="W193" s="60"/>
      <c r="X193" s="51"/>
      <c r="Y193" s="51"/>
      <c r="Z193" s="51"/>
      <c r="AB193" s="50"/>
      <c r="AC193" s="72"/>
      <c r="AD193" s="51"/>
      <c r="AE193" s="51"/>
      <c r="AF193" s="51"/>
    </row>
    <row r="194" spans="1:32" ht="23.25" x14ac:dyDescent="0.35">
      <c r="A194" s="49"/>
      <c r="B194" s="49"/>
      <c r="C194" s="50"/>
      <c r="D194" s="51"/>
      <c r="E194" s="52"/>
      <c r="F194" s="51"/>
      <c r="G194" s="51"/>
      <c r="H194" s="51"/>
      <c r="J194" s="51"/>
      <c r="K194" s="52"/>
      <c r="L194" s="51"/>
      <c r="M194" s="51"/>
      <c r="N194" s="51"/>
      <c r="O194" s="62"/>
      <c r="P194" s="51"/>
      <c r="Q194" s="52"/>
      <c r="R194" s="51"/>
      <c r="S194" s="51"/>
      <c r="T194" s="51"/>
      <c r="V194" s="51"/>
      <c r="W194" s="60"/>
      <c r="X194" s="51"/>
      <c r="Y194" s="51"/>
      <c r="Z194" s="51"/>
      <c r="AB194" s="50"/>
      <c r="AC194" s="72"/>
      <c r="AD194" s="51"/>
      <c r="AE194" s="51"/>
      <c r="AF194" s="51"/>
    </row>
    <row r="195" spans="1:32" ht="23.25" x14ac:dyDescent="0.35">
      <c r="A195" s="49"/>
      <c r="B195" s="49"/>
      <c r="C195" s="50"/>
      <c r="D195" s="51"/>
      <c r="E195" s="52"/>
      <c r="F195" s="51"/>
      <c r="G195" s="51"/>
      <c r="H195" s="51"/>
      <c r="J195" s="51"/>
      <c r="K195" s="52"/>
      <c r="L195" s="51"/>
      <c r="M195" s="51"/>
      <c r="N195" s="51"/>
      <c r="O195" s="62"/>
      <c r="P195" s="51"/>
      <c r="Q195" s="52"/>
      <c r="R195" s="51"/>
      <c r="S195" s="51"/>
      <c r="T195" s="51"/>
      <c r="V195" s="51"/>
      <c r="W195" s="60"/>
      <c r="X195" s="51"/>
      <c r="Y195" s="51"/>
      <c r="Z195" s="51"/>
      <c r="AB195" s="50"/>
      <c r="AC195" s="72"/>
      <c r="AD195" s="51"/>
      <c r="AE195" s="51"/>
      <c r="AF195" s="51"/>
    </row>
    <row r="196" spans="1:32" ht="23.25" x14ac:dyDescent="0.35">
      <c r="A196" s="65"/>
      <c r="B196" s="49"/>
      <c r="C196" s="50"/>
      <c r="D196" s="51"/>
      <c r="E196" s="52"/>
      <c r="F196" s="51"/>
      <c r="G196" s="51"/>
      <c r="H196" s="51"/>
      <c r="J196" s="51"/>
      <c r="K196" s="52"/>
      <c r="L196" s="51"/>
      <c r="M196" s="51"/>
      <c r="N196" s="51"/>
      <c r="O196" s="62"/>
      <c r="P196" s="51"/>
      <c r="Q196" s="52"/>
      <c r="R196" s="51"/>
      <c r="S196" s="51"/>
      <c r="T196" s="51"/>
      <c r="V196" s="51"/>
      <c r="W196" s="60"/>
      <c r="X196" s="51"/>
      <c r="Y196" s="51"/>
      <c r="Z196" s="51"/>
      <c r="AB196" s="106"/>
      <c r="AC196" s="72"/>
      <c r="AD196" s="51"/>
      <c r="AE196" s="51"/>
      <c r="AF196" s="51"/>
    </row>
    <row r="197" spans="1:32" ht="23.25" x14ac:dyDescent="0.35">
      <c r="A197" s="65"/>
      <c r="B197" s="49"/>
      <c r="C197" s="50"/>
      <c r="D197" s="51"/>
      <c r="E197" s="52"/>
      <c r="F197" s="51"/>
      <c r="G197" s="51"/>
      <c r="H197" s="51"/>
      <c r="J197" s="51"/>
      <c r="K197" s="52"/>
      <c r="L197" s="51"/>
      <c r="M197" s="51"/>
      <c r="N197" s="51"/>
      <c r="O197" s="62"/>
      <c r="P197" s="51"/>
      <c r="Q197" s="52"/>
      <c r="R197" s="51"/>
      <c r="S197" s="51"/>
      <c r="T197" s="51"/>
      <c r="V197" s="51"/>
      <c r="W197" s="60"/>
      <c r="X197" s="51"/>
      <c r="Y197" s="51"/>
      <c r="Z197" s="51"/>
      <c r="AB197" s="106"/>
      <c r="AC197" s="72"/>
      <c r="AD197" s="51"/>
      <c r="AE197" s="51"/>
      <c r="AF197" s="51"/>
    </row>
    <row r="198" spans="1:32" ht="23.25" x14ac:dyDescent="0.35">
      <c r="A198" s="49"/>
      <c r="B198" s="49"/>
      <c r="C198" s="50"/>
      <c r="D198" s="51"/>
      <c r="E198" s="52"/>
      <c r="F198" s="51"/>
      <c r="G198" s="51"/>
      <c r="H198" s="51"/>
      <c r="J198" s="51"/>
      <c r="K198" s="52"/>
      <c r="L198" s="51"/>
      <c r="M198" s="51"/>
      <c r="N198" s="51"/>
      <c r="O198" s="62"/>
      <c r="P198" s="51"/>
      <c r="Q198" s="52"/>
      <c r="R198" s="51"/>
      <c r="S198" s="51"/>
      <c r="T198" s="51"/>
      <c r="V198" s="51"/>
      <c r="W198" s="60"/>
      <c r="X198" s="51"/>
      <c r="Y198" s="51"/>
      <c r="Z198" s="51"/>
      <c r="AB198" s="50"/>
      <c r="AC198" s="72"/>
      <c r="AD198" s="51"/>
      <c r="AE198" s="51"/>
      <c r="AF198" s="51"/>
    </row>
    <row r="199" spans="1:32" ht="23.25" x14ac:dyDescent="0.35">
      <c r="A199" s="49"/>
      <c r="B199" s="49"/>
      <c r="C199" s="63"/>
      <c r="D199" s="51"/>
      <c r="E199" s="52"/>
      <c r="F199" s="51"/>
      <c r="G199" s="51"/>
      <c r="H199" s="51"/>
      <c r="J199" s="51"/>
      <c r="K199" s="52"/>
      <c r="L199" s="51"/>
      <c r="M199" s="51"/>
      <c r="N199" s="51"/>
      <c r="O199" s="62"/>
      <c r="P199" s="51"/>
      <c r="Q199" s="52"/>
      <c r="R199" s="51"/>
      <c r="S199" s="51"/>
      <c r="T199" s="51"/>
      <c r="V199" s="51"/>
      <c r="W199" s="60"/>
      <c r="X199" s="51"/>
      <c r="Y199" s="51"/>
      <c r="Z199" s="51"/>
      <c r="AB199" s="50"/>
      <c r="AC199" s="72"/>
      <c r="AD199" s="51"/>
      <c r="AE199" s="51"/>
      <c r="AF199" s="51"/>
    </row>
    <row r="200" spans="1:32" ht="23.25" x14ac:dyDescent="0.35">
      <c r="A200" s="49"/>
      <c r="B200" s="49"/>
      <c r="C200" s="63"/>
      <c r="D200" s="51"/>
      <c r="E200" s="52"/>
      <c r="F200" s="51"/>
      <c r="G200" s="51"/>
      <c r="H200" s="51"/>
      <c r="J200" s="51"/>
      <c r="K200" s="52"/>
      <c r="L200" s="51"/>
      <c r="M200" s="51"/>
      <c r="N200" s="51"/>
      <c r="O200" s="62"/>
      <c r="P200" s="51"/>
      <c r="Q200" s="52"/>
      <c r="R200" s="51"/>
      <c r="S200" s="51"/>
      <c r="T200" s="51"/>
      <c r="V200" s="51"/>
      <c r="W200" s="60"/>
      <c r="X200" s="51"/>
      <c r="Y200" s="51"/>
      <c r="Z200" s="51"/>
      <c r="AB200" s="50"/>
      <c r="AC200" s="72"/>
      <c r="AD200" s="51"/>
      <c r="AE200" s="51"/>
      <c r="AF200" s="51"/>
    </row>
    <row r="201" spans="1:32" ht="23.25" x14ac:dyDescent="0.35">
      <c r="A201" s="65"/>
      <c r="B201" s="49"/>
      <c r="C201" s="63"/>
      <c r="D201" s="51"/>
      <c r="E201" s="52"/>
      <c r="F201" s="51"/>
      <c r="G201" s="51"/>
      <c r="H201" s="51"/>
      <c r="J201" s="51"/>
      <c r="K201" s="52"/>
      <c r="L201" s="51"/>
      <c r="M201" s="51"/>
      <c r="N201" s="51"/>
      <c r="O201" s="62"/>
      <c r="P201" s="51"/>
      <c r="Q201" s="52"/>
      <c r="R201" s="51"/>
      <c r="S201" s="51"/>
      <c r="T201" s="51"/>
      <c r="V201" s="51"/>
      <c r="W201" s="60"/>
      <c r="X201" s="51"/>
      <c r="Y201" s="51"/>
      <c r="Z201" s="51"/>
      <c r="AB201" s="73"/>
      <c r="AC201" s="72"/>
      <c r="AD201" s="51"/>
      <c r="AE201" s="51"/>
      <c r="AF201" s="51"/>
    </row>
    <row r="202" spans="1:32" ht="23.25" x14ac:dyDescent="0.35">
      <c r="A202" s="65"/>
      <c r="B202" s="65"/>
      <c r="C202" s="73"/>
      <c r="D202" s="73"/>
      <c r="E202" s="72"/>
      <c r="F202" s="51"/>
      <c r="G202" s="51"/>
      <c r="H202" s="51"/>
      <c r="J202" s="73"/>
      <c r="K202" s="72"/>
      <c r="L202" s="51"/>
      <c r="M202" s="51"/>
      <c r="N202" s="51"/>
      <c r="O202" s="62"/>
      <c r="P202" s="73"/>
      <c r="Q202" s="72"/>
      <c r="R202" s="51"/>
      <c r="S202" s="51"/>
      <c r="T202" s="51"/>
      <c r="V202" s="51"/>
      <c r="W202" s="72"/>
      <c r="X202" s="51"/>
      <c r="Y202" s="51"/>
      <c r="Z202" s="51"/>
      <c r="AB202" s="73"/>
      <c r="AC202" s="72"/>
      <c r="AD202" s="51"/>
      <c r="AE202" s="51"/>
      <c r="AF202" s="51"/>
    </row>
    <row r="203" spans="1:32" ht="23.25" x14ac:dyDescent="0.35">
      <c r="A203" s="65"/>
      <c r="B203" s="65"/>
      <c r="C203" s="73"/>
      <c r="D203" s="73"/>
      <c r="E203" s="72"/>
      <c r="F203" s="51"/>
      <c r="G203" s="51"/>
      <c r="H203" s="51"/>
      <c r="J203" s="73"/>
      <c r="K203" s="72"/>
      <c r="L203" s="51"/>
      <c r="M203" s="51"/>
      <c r="N203" s="51"/>
      <c r="O203" s="62"/>
      <c r="P203" s="73"/>
      <c r="Q203" s="72"/>
      <c r="R203" s="51"/>
      <c r="S203" s="51"/>
      <c r="T203" s="51"/>
      <c r="V203" s="51"/>
      <c r="W203" s="72"/>
      <c r="X203" s="51"/>
      <c r="Y203" s="51"/>
      <c r="Z203" s="51"/>
      <c r="AB203" s="73"/>
      <c r="AC203" s="72"/>
      <c r="AD203" s="51"/>
      <c r="AE203" s="51"/>
      <c r="AF203" s="51"/>
    </row>
    <row r="204" spans="1:32" ht="23.25" x14ac:dyDescent="0.35">
      <c r="A204" s="100"/>
      <c r="B204" s="75"/>
      <c r="C204" s="76"/>
      <c r="D204" s="77"/>
      <c r="E204" s="77"/>
      <c r="F204" s="77"/>
      <c r="G204" s="77"/>
      <c r="H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V204" s="77"/>
      <c r="W204" s="77"/>
      <c r="X204" s="77"/>
      <c r="Y204" s="77"/>
      <c r="Z204" s="77"/>
      <c r="AB204" s="77"/>
      <c r="AC204" s="77"/>
      <c r="AD204" s="77"/>
      <c r="AE204" s="77"/>
      <c r="AF204" s="77"/>
    </row>
    <row r="205" spans="1:32" ht="23.25" x14ac:dyDescent="0.35">
      <c r="A205" s="100"/>
      <c r="B205" s="75"/>
      <c r="C205" s="76"/>
      <c r="D205" s="77"/>
      <c r="E205" s="77"/>
      <c r="F205" s="77"/>
      <c r="G205" s="77"/>
      <c r="H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V205" s="77"/>
      <c r="W205" s="77"/>
      <c r="X205" s="77"/>
      <c r="Y205" s="77"/>
      <c r="Z205" s="77"/>
      <c r="AB205" s="77"/>
      <c r="AC205" s="77"/>
      <c r="AD205" s="77"/>
      <c r="AE205" s="77"/>
      <c r="AF205" s="77"/>
    </row>
    <row r="206" spans="1:32" ht="23.25" x14ac:dyDescent="0.35">
      <c r="A206" s="103"/>
      <c r="B206" s="75"/>
      <c r="C206" s="76"/>
      <c r="D206" s="81"/>
      <c r="E206" s="51"/>
      <c r="F206" s="51"/>
      <c r="G206" s="51"/>
      <c r="H206" s="51"/>
      <c r="J206" s="107"/>
      <c r="K206" s="107"/>
      <c r="L206" s="107"/>
      <c r="M206" s="107"/>
      <c r="N206" s="107"/>
      <c r="O206" s="51"/>
      <c r="P206" s="107"/>
      <c r="Q206" s="107"/>
      <c r="R206" s="107"/>
      <c r="S206" s="107"/>
      <c r="T206" s="107"/>
      <c r="V206" s="110"/>
      <c r="W206" s="110"/>
      <c r="X206" s="110"/>
      <c r="Y206" s="110"/>
      <c r="Z206" s="110"/>
      <c r="AB206" s="110"/>
      <c r="AC206" s="110"/>
      <c r="AD206" s="110"/>
      <c r="AE206" s="110"/>
      <c r="AF206" s="110"/>
    </row>
    <row r="207" spans="1:32" ht="23.25" x14ac:dyDescent="0.35">
      <c r="A207" s="103"/>
      <c r="B207" s="75"/>
      <c r="C207" s="76"/>
      <c r="D207" s="62"/>
      <c r="E207" s="99"/>
      <c r="F207" s="62"/>
      <c r="G207" s="62"/>
      <c r="H207" s="62"/>
      <c r="J207" s="108"/>
      <c r="K207" s="99"/>
      <c r="L207" s="108"/>
      <c r="M207" s="108"/>
      <c r="N207" s="108"/>
      <c r="O207" s="58"/>
      <c r="P207" s="108"/>
      <c r="Q207" s="99"/>
      <c r="R207" s="108"/>
      <c r="S207" s="108"/>
      <c r="T207" s="108"/>
      <c r="V207" s="107"/>
      <c r="W207" s="99"/>
      <c r="X207" s="108"/>
      <c r="Y207" s="108"/>
      <c r="Z207" s="108"/>
      <c r="AB207" s="107"/>
      <c r="AC207" s="99"/>
      <c r="AD207" s="108"/>
      <c r="AE207" s="108"/>
      <c r="AF207" s="108"/>
    </row>
    <row r="208" spans="1:32" ht="23.25" x14ac:dyDescent="0.35">
      <c r="A208" s="103"/>
      <c r="B208" s="75"/>
      <c r="C208" s="76"/>
      <c r="D208" s="62"/>
      <c r="E208" s="62"/>
      <c r="F208" s="62"/>
      <c r="G208" s="62"/>
      <c r="H208" s="62"/>
      <c r="J208" s="108"/>
      <c r="K208" s="108"/>
      <c r="L208" s="108"/>
      <c r="M208" s="108"/>
      <c r="N208" s="108"/>
      <c r="O208" s="58"/>
      <c r="P208" s="108"/>
      <c r="Q208" s="108"/>
      <c r="R208" s="108"/>
      <c r="S208" s="108"/>
      <c r="T208" s="108"/>
      <c r="V208" s="107"/>
      <c r="W208" s="108"/>
      <c r="X208" s="108"/>
      <c r="Y208" s="108"/>
      <c r="Z208" s="108"/>
      <c r="AB208" s="107"/>
      <c r="AC208" s="108"/>
      <c r="AD208" s="108"/>
      <c r="AE208" s="108"/>
      <c r="AF208" s="108"/>
    </row>
    <row r="209" spans="1:32" ht="23.25" x14ac:dyDescent="0.35">
      <c r="A209" s="103"/>
      <c r="B209" s="75"/>
      <c r="C209" s="76"/>
      <c r="D209" s="77"/>
      <c r="E209" s="77"/>
      <c r="F209" s="81"/>
      <c r="G209" s="58"/>
      <c r="H209" s="58"/>
      <c r="J209" s="77"/>
      <c r="K209" s="77"/>
      <c r="L209" s="81"/>
      <c r="M209" s="58"/>
      <c r="N209" s="58"/>
      <c r="O209" s="58"/>
      <c r="P209" s="111"/>
      <c r="Q209" s="111"/>
      <c r="R209" s="62"/>
      <c r="S209" s="62"/>
      <c r="T209" s="62"/>
      <c r="V209" s="77"/>
      <c r="W209" s="77"/>
      <c r="X209" s="81"/>
      <c r="Y209" s="58"/>
      <c r="Z209" s="58"/>
      <c r="AB209" s="77"/>
      <c r="AC209" s="77"/>
      <c r="AD209" s="81"/>
      <c r="AE209" s="58"/>
      <c r="AF209" s="58"/>
    </row>
    <row r="217" spans="1:32" ht="23.25" x14ac:dyDescent="0.35">
      <c r="K217" s="112"/>
      <c r="L217" s="112"/>
    </row>
    <row r="218" spans="1:32" ht="23.25" x14ac:dyDescent="0.35">
      <c r="J218" s="112"/>
      <c r="K218" s="112"/>
      <c r="L218" s="112"/>
    </row>
    <row r="219" spans="1:32" ht="23.25" x14ac:dyDescent="0.35">
      <c r="J219" s="73"/>
      <c r="K219" s="51"/>
      <c r="L219" s="51"/>
    </row>
    <row r="220" spans="1:32" ht="23.25" x14ac:dyDescent="0.35">
      <c r="J220" s="49"/>
      <c r="K220" s="51"/>
      <c r="L220" s="51"/>
    </row>
    <row r="221" spans="1:32" ht="23.25" x14ac:dyDescent="0.35">
      <c r="J221" s="49"/>
      <c r="K221" s="51"/>
      <c r="L221" s="51"/>
    </row>
    <row r="222" spans="1:32" ht="23.25" x14ac:dyDescent="0.35">
      <c r="J222" s="65"/>
      <c r="K222" s="51"/>
      <c r="L222" s="51"/>
    </row>
    <row r="223" spans="1:32" ht="23.25" x14ac:dyDescent="0.35">
      <c r="J223" s="65"/>
      <c r="K223" s="51"/>
      <c r="L223" s="51"/>
    </row>
  </sheetData>
  <mergeCells count="47">
    <mergeCell ref="CT12:CT13"/>
    <mergeCell ref="CE12:CE13"/>
    <mergeCell ref="CJ12:CJ13"/>
    <mergeCell ref="CO12:CO13"/>
    <mergeCell ref="AB186:AB187"/>
    <mergeCell ref="AB157:AB158"/>
    <mergeCell ref="BW12:BW13"/>
    <mergeCell ref="AW12:AW13"/>
    <mergeCell ref="BC12:BC13"/>
    <mergeCell ref="BI12:BI13"/>
    <mergeCell ref="E157:E158"/>
    <mergeCell ref="J157:J158"/>
    <mergeCell ref="P157:P158"/>
    <mergeCell ref="V157:V158"/>
    <mergeCell ref="W157:W158"/>
    <mergeCell ref="E186:E187"/>
    <mergeCell ref="J186:J187"/>
    <mergeCell ref="P186:P187"/>
    <mergeCell ref="V186:V187"/>
    <mergeCell ref="W186:W187"/>
    <mergeCell ref="Y12:Y13"/>
    <mergeCell ref="E133:E134"/>
    <mergeCell ref="J133:J134"/>
    <mergeCell ref="P133:P134"/>
    <mergeCell ref="V133:V134"/>
    <mergeCell ref="W133:W134"/>
    <mergeCell ref="E100:E101"/>
    <mergeCell ref="J100:J101"/>
    <mergeCell ref="P100:P101"/>
    <mergeCell ref="V100:V101"/>
    <mergeCell ref="W100:W101"/>
    <mergeCell ref="CY12:CY13"/>
    <mergeCell ref="E68:E69"/>
    <mergeCell ref="W68:W69"/>
    <mergeCell ref="AE12:AE13"/>
    <mergeCell ref="AK12:AK13"/>
    <mergeCell ref="AQ12:AQ13"/>
    <mergeCell ref="E43:E44"/>
    <mergeCell ref="J43:J44"/>
    <mergeCell ref="P43:P44"/>
    <mergeCell ref="V43:V44"/>
    <mergeCell ref="W43:W44"/>
    <mergeCell ref="E12:E13"/>
    <mergeCell ref="J12:J13"/>
    <mergeCell ref="P12:P13"/>
    <mergeCell ref="V12:V13"/>
    <mergeCell ref="W12:W1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Morgan</dc:creator>
  <cp:lastModifiedBy>Patrick Sanosa</cp:lastModifiedBy>
  <dcterms:created xsi:type="dcterms:W3CDTF">2023-03-09T21:20:13Z</dcterms:created>
  <dcterms:modified xsi:type="dcterms:W3CDTF">2024-06-04T00:57:19Z</dcterms:modified>
</cp:coreProperties>
</file>